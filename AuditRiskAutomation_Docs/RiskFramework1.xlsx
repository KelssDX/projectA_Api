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malefane/Documents/Ngubane Risk Framework/"/>
    </mc:Choice>
  </mc:AlternateContent>
  <xr:revisionPtr revIDLastSave="0" documentId="13_ncr:1_{7DFCA896-0AEF-504A-81EE-6564E416E28C}" xr6:coauthVersionLast="47" xr6:coauthVersionMax="47" xr10:uidLastSave="{00000000-0000-0000-0000-000000000000}"/>
  <bookViews>
    <workbookView xWindow="0" yWindow="0" windowWidth="28800" windowHeight="18000" xr2:uid="{6DAAFA5B-4743-C545-AAAD-0B3A24B71CC0}"/>
  </bookViews>
  <sheets>
    <sheet name="Main" sheetId="1" r:id="rId1"/>
    <sheet name="HeatMap" sheetId="4" r:id="rId2"/>
    <sheet name="OperationalRisk Dashboard" sheetId="7" r:id="rId3"/>
    <sheet name="MarketRisk Dashboard" sheetId="6" r:id="rId4"/>
  </sheets>
  <definedNames>
    <definedName name="Catastrophic">HeatMap!$G$20</definedName>
    <definedName name="High">HeatMap!$D$19</definedName>
    <definedName name="Impact">HeatMap!$F$21:$G$25</definedName>
    <definedName name="Likelihood">HeatMap!$C$21:$D$25</definedName>
    <definedName name="Low">HeatMap!$D$17</definedName>
    <definedName name="Medium">HeatMap!$D$18</definedName>
    <definedName name="Moderate">HeatMap!$G$18</definedName>
    <definedName name="Negligible">HeatMap!$G$16</definedName>
    <definedName name="riskassessment">Main!#REF!</definedName>
    <definedName name="Significant">HeatMap!$G$19</definedName>
    <definedName name="Very_High">HeatMap!$D$20</definedName>
    <definedName name="Very_Low">HeatMap!$D$16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9" i="7" l="1"/>
  <c r="N34" i="7" a="1"/>
  <c r="N34" i="7" s="1"/>
  <c r="G34" i="7" s="1"/>
  <c r="J34" i="7" s="1"/>
  <c r="K34" i="7" s="1"/>
  <c r="N28" i="7" a="1"/>
  <c r="N28" i="7" s="1"/>
  <c r="G29" i="7" s="1"/>
  <c r="J29" i="7" s="1"/>
  <c r="L29" i="7" s="1"/>
  <c r="N22" i="7" a="1"/>
  <c r="N22" i="7" s="1"/>
  <c r="G23" i="7" s="1"/>
  <c r="J23" i="7" s="1"/>
  <c r="L23" i="7" s="1"/>
  <c r="N16" i="7" a="1"/>
  <c r="N16" i="7" s="1"/>
  <c r="G16" i="7" s="1"/>
  <c r="J16" i="7" s="1"/>
  <c r="K16" i="7" s="1"/>
  <c r="N9" i="7" a="1"/>
  <c r="N9" i="7" s="1"/>
  <c r="G9" i="7" s="1"/>
  <c r="J9" i="7" s="1"/>
  <c r="K9" i="7" s="1"/>
  <c r="N3" i="7" a="1"/>
  <c r="N3" i="7" s="1"/>
  <c r="G4" i="7" s="1"/>
  <c r="J4" i="7" s="1"/>
  <c r="L4" i="7" s="1"/>
  <c r="Q3" i="6"/>
  <c r="P3" i="6"/>
  <c r="O3" i="6"/>
  <c r="N3" i="6"/>
  <c r="K3" i="6"/>
  <c r="J3" i="6"/>
  <c r="I3" i="6"/>
  <c r="H3" i="6"/>
  <c r="G3" i="6"/>
  <c r="F3" i="6"/>
  <c r="E3" i="6"/>
  <c r="D3" i="6"/>
  <c r="C3" i="6"/>
  <c r="B3" i="6"/>
  <c r="A3" i="6"/>
  <c r="AD41" i="1"/>
  <c r="AD40" i="1"/>
  <c r="AD42" i="1"/>
  <c r="AA33" i="1"/>
  <c r="Z33" i="1"/>
  <c r="AA34" i="1"/>
  <c r="AA35" i="1"/>
  <c r="AA36" i="1"/>
  <c r="AA37" i="1"/>
  <c r="AA38" i="1"/>
  <c r="AA39" i="1"/>
  <c r="AA40" i="1"/>
  <c r="AA41" i="1"/>
  <c r="AA42" i="1"/>
  <c r="Z42" i="1"/>
  <c r="Z41" i="1"/>
  <c r="Z40" i="1"/>
  <c r="Z39" i="1"/>
  <c r="Z38" i="1"/>
  <c r="Z37" i="1"/>
  <c r="Z36" i="1"/>
  <c r="Z35" i="1"/>
  <c r="Z34" i="1"/>
  <c r="AD39" i="1"/>
  <c r="AC42" i="1"/>
  <c r="AC41" i="1"/>
  <c r="AC40" i="1"/>
  <c r="AC39" i="1"/>
  <c r="AD38" i="1"/>
  <c r="AC38" i="1"/>
  <c r="AD37" i="1"/>
  <c r="AC37" i="1"/>
  <c r="AD36" i="1"/>
  <c r="AC36" i="1"/>
  <c r="AD35" i="1"/>
  <c r="AC35" i="1"/>
  <c r="AD34" i="1"/>
  <c r="AC34" i="1"/>
  <c r="AD33" i="1"/>
  <c r="AC33" i="1"/>
  <c r="D8" i="4" l="1"/>
  <c r="C8" i="4"/>
  <c r="G22" i="7"/>
  <c r="J22" i="7" s="1"/>
  <c r="K22" i="7" s="1"/>
  <c r="G17" i="7"/>
  <c r="J17" i="7" s="1"/>
  <c r="L17" i="7" s="1"/>
  <c r="G10" i="7"/>
  <c r="J10" i="7" s="1"/>
  <c r="L10" i="7" s="1"/>
  <c r="G3" i="7"/>
  <c r="J3" i="7" s="1"/>
  <c r="K3" i="7" s="1"/>
  <c r="K39" i="7" s="1"/>
  <c r="G28" i="7"/>
  <c r="J28" i="7" s="1"/>
  <c r="K28" i="7" s="1"/>
  <c r="G35" i="7"/>
  <c r="J35" i="7" s="1"/>
  <c r="L35" i="7" s="1"/>
  <c r="L39" i="7" s="1"/>
  <c r="F6" i="4"/>
  <c r="L8" i="4"/>
  <c r="N8" i="4"/>
  <c r="N6" i="4"/>
  <c r="M8" i="4"/>
  <c r="K8" i="4"/>
  <c r="G5" i="4"/>
  <c r="C7" i="4"/>
  <c r="D9" i="4"/>
  <c r="G8" i="4"/>
  <c r="D6" i="4"/>
  <c r="F8" i="4"/>
  <c r="E6" i="4"/>
  <c r="E9" i="4"/>
  <c r="C9" i="4"/>
  <c r="F9" i="4"/>
  <c r="G6" i="4"/>
  <c r="E7" i="4"/>
  <c r="D5" i="4"/>
  <c r="D7" i="4"/>
  <c r="G9" i="4"/>
  <c r="G7" i="4"/>
  <c r="E5" i="4"/>
  <c r="C5" i="4"/>
  <c r="F7" i="4"/>
  <c r="E8" i="4"/>
  <c r="C6" i="4"/>
  <c r="F5" i="4"/>
  <c r="N5" i="4"/>
  <c r="K6" i="4"/>
  <c r="L6" i="4"/>
  <c r="M6" i="4"/>
  <c r="K9" i="4"/>
  <c r="K7" i="4"/>
  <c r="K5" i="4"/>
  <c r="O5" i="4"/>
  <c r="L9" i="4"/>
  <c r="L7" i="4"/>
  <c r="L5" i="4"/>
  <c r="M9" i="4"/>
  <c r="M7" i="4"/>
  <c r="M5" i="4"/>
  <c r="N9" i="4"/>
  <c r="N7" i="4"/>
  <c r="O8" i="4"/>
  <c r="O7" i="4"/>
  <c r="O9" i="4"/>
  <c r="O6"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<sst xmlns="http://schemas.openxmlformats.org/spreadsheetml/2006/main" count="1413" uniqueCount="125">
  <si>
    <t>Risk</t>
  </si>
  <si>
    <t>Frequency</t>
  </si>
  <si>
    <t>Time Series</t>
  </si>
  <si>
    <t>Risk Category</t>
  </si>
  <si>
    <t>Project Risk</t>
  </si>
  <si>
    <t>Nature</t>
  </si>
  <si>
    <t>Responsibility</t>
  </si>
  <si>
    <t>Evidence</t>
  </si>
  <si>
    <t>Authoriser</t>
  </si>
  <si>
    <t>Responsible Person</t>
  </si>
  <si>
    <t>Preventive</t>
  </si>
  <si>
    <t>Signature</t>
  </si>
  <si>
    <t>Agreed Date</t>
  </si>
  <si>
    <t>Key risk and factors</t>
  </si>
  <si>
    <t>Key/Secondary</t>
  </si>
  <si>
    <t>Key risk</t>
  </si>
  <si>
    <t>Secondary risk</t>
  </si>
  <si>
    <t>Market Risk</t>
  </si>
  <si>
    <t>Mitigating controls</t>
  </si>
  <si>
    <t xml:space="preserve"> </t>
  </si>
  <si>
    <t xml:space="preserve">Controls </t>
  </si>
  <si>
    <t>Once-off</t>
  </si>
  <si>
    <t>System time stemp</t>
  </si>
  <si>
    <t>Meeting minutes</t>
  </si>
  <si>
    <t>Committe or Board decision</t>
  </si>
  <si>
    <t>Auditors Recommended Action Plan</t>
  </si>
  <si>
    <t>Business Objective</t>
  </si>
  <si>
    <t>Main process</t>
  </si>
  <si>
    <t>Sub process</t>
  </si>
  <si>
    <t>Shareholder returns</t>
  </si>
  <si>
    <t>Share price forecast</t>
  </si>
  <si>
    <t>Finance, Investments and Treasury management</t>
  </si>
  <si>
    <t>Link to Dashboard</t>
  </si>
  <si>
    <t>RISK AND CONTROL ASSESSMENT TEMPLATE</t>
  </si>
  <si>
    <t>Client:</t>
  </si>
  <si>
    <t>Assessment period:</t>
  </si>
  <si>
    <t>Assessor:</t>
  </si>
  <si>
    <t>Approved by:</t>
  </si>
  <si>
    <t>Liquidity Risk</t>
  </si>
  <si>
    <t>Operational Risk</t>
  </si>
  <si>
    <t>Per business transaction</t>
  </si>
  <si>
    <t>Likelihood</t>
  </si>
  <si>
    <t>Impact</t>
  </si>
  <si>
    <t>Medium</t>
  </si>
  <si>
    <t>Low</t>
  </si>
  <si>
    <t>Very High</t>
  </si>
  <si>
    <t>Strategic Risk</t>
  </si>
  <si>
    <t>Negligible</t>
  </si>
  <si>
    <t>Catastrophic</t>
  </si>
  <si>
    <t>Data Frequency</t>
  </si>
  <si>
    <t>Periodic</t>
  </si>
  <si>
    <t>Significant</t>
  </si>
  <si>
    <t>Moderate</t>
  </si>
  <si>
    <t>Improbable</t>
  </si>
  <si>
    <t>Probable</t>
  </si>
  <si>
    <t>Original Assessment</t>
  </si>
  <si>
    <t>Adjusted Assessment</t>
  </si>
  <si>
    <t>Post Action Risk Assessment</t>
  </si>
  <si>
    <t>Original assessment</t>
  </si>
  <si>
    <t>Adjusted assessment</t>
  </si>
  <si>
    <t>Lower</t>
  </si>
  <si>
    <t>Negative returns on the share price</t>
  </si>
  <si>
    <t>Unfavourable exchange rate</t>
  </si>
  <si>
    <t>Effective hedging</t>
  </si>
  <si>
    <t>Exchange rate - USDZAR</t>
  </si>
  <si>
    <t>Detective</t>
  </si>
  <si>
    <t>Monthly</t>
  </si>
  <si>
    <t>Daily</t>
  </si>
  <si>
    <t>Share price (ZAR)</t>
  </si>
  <si>
    <t>adjusted</t>
  </si>
  <si>
    <t>original</t>
  </si>
  <si>
    <t>N/A</t>
  </si>
  <si>
    <t>Concentration Risk</t>
  </si>
  <si>
    <t>Reputational Risk</t>
  </si>
  <si>
    <t>Environmental Risk</t>
  </si>
  <si>
    <t>Health and Safety Risk</t>
  </si>
  <si>
    <t>Compliance Risk</t>
  </si>
  <si>
    <t>Internal Fraud</t>
  </si>
  <si>
    <t>People</t>
  </si>
  <si>
    <t>Loss Frequency</t>
  </si>
  <si>
    <t>Risk measurement</t>
  </si>
  <si>
    <t>Operational VAR</t>
  </si>
  <si>
    <t xml:space="preserve">Mean </t>
  </si>
  <si>
    <t>Quarterly</t>
  </si>
  <si>
    <t>Annually</t>
  </si>
  <si>
    <t>Number of Loss Events</t>
  </si>
  <si>
    <t>Probability</t>
  </si>
  <si>
    <t>VAR</t>
  </si>
  <si>
    <t>Clients, products and business practices</t>
  </si>
  <si>
    <t>Business disruptions and system failures</t>
  </si>
  <si>
    <t>Employment practices</t>
  </si>
  <si>
    <t xml:space="preserve"> Execution, delivery and process management</t>
  </si>
  <si>
    <t>Source</t>
  </si>
  <si>
    <t>External Events</t>
  </si>
  <si>
    <t>Systems</t>
  </si>
  <si>
    <t>Based on Capital of e.g ZAR 200,000,000.00</t>
  </si>
  <si>
    <t>Column1</t>
  </si>
  <si>
    <t>Column2</t>
  </si>
  <si>
    <t>Column3</t>
  </si>
  <si>
    <t>Column4</t>
  </si>
  <si>
    <t>Column5</t>
  </si>
  <si>
    <t>Daily VaR at 95.0% confidence level: -0.0391</t>
  </si>
  <si>
    <t>Daily CVaR at 95.0% confidence level: -0.0571</t>
  </si>
  <si>
    <t>Returns went below 10% 4 times in history.</t>
  </si>
  <si>
    <t>High kurtosis is observed and depicted by fat-tails confirming a departure from normality</t>
  </si>
  <si>
    <t xml:space="preserve">Negative skewness is observed with returns dropping below 10% </t>
  </si>
  <si>
    <t>Negative skewness confirms the frequency of negative returns than postive ones</t>
  </si>
  <si>
    <t xml:space="preserve">Recommendation </t>
  </si>
  <si>
    <t>Implement Data Science techniques to regularly monitor the performance of share capital returns and investment portfolios.</t>
  </si>
  <si>
    <t>Risk measurement should form part of the discussions at various steering committees.</t>
  </si>
  <si>
    <t>Potential Capital Loss based on VAR at 95.0% confidence level: ZAR-46,870,023.14</t>
  </si>
  <si>
    <t>Potential Capital Loss based on CVAR at 95.0% confidence level: ZAR-68,461,203.80</t>
  </si>
  <si>
    <t>RISK PROFILE</t>
  </si>
  <si>
    <t>Confidence level</t>
  </si>
  <si>
    <t>Total</t>
  </si>
  <si>
    <t>Loss Amount</t>
  </si>
  <si>
    <t>Cumulative VAR (Severity)</t>
  </si>
  <si>
    <t>Single VAR(possible loss)</t>
  </si>
  <si>
    <t>Ensure that the share price is within the Index beta (FTSE ALL Share) and the Metals Sector Beta as an indicator of risk.</t>
  </si>
  <si>
    <t xml:space="preserve">Project failure and financial losses </t>
  </si>
  <si>
    <t>Feasibility studies,  Capital investment decisions supported by discounted cash flow analysis.</t>
  </si>
  <si>
    <t>CFO</t>
  </si>
  <si>
    <t>Board</t>
  </si>
  <si>
    <t>Projects should be grouped according to nature and size of investment. Managed through project management conrtols. Feasibility studies and discounted cash flow analysis should be in place and thoroughly documented and rigourously followed.</t>
  </si>
  <si>
    <t>CFO, CEO AND the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</si>
</sst>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2"/>
      <color theme="1"/>
      <name val="Calibri"/>
      <family val="2"/>
      <scheme val="minor"/>
    </font>
    <font>
      <b/>
      <sz val="12"/>
      <color theme="0"/>
      <name val="Calibri"/>
      <family val="2"/>
      <scheme val="minor"/>
    </font>
    <font>
      <b/>
      <sz val="12"/>
      <color theme="1"/>
      <name val="Calibri"/>
      <family val="2"/>
      <scheme val="minor"/>
    </font>
    <font>
      <b/>
      <sz val="14"/>
      <color theme="0"/>
      <name val="Calibri"/>
      <family val="2"/>
      <scheme val="minor"/>
    </font>
    <font>
      <sz val="24"/>
      <color theme="1"/>
      <name val="Calibri"/>
      <family val="2"/>
      <scheme val="minor"/>
    </font>
    <font>
      <sz val="12"/>
      <color rgb="FF0070C0"/>
      <name val="Calibri"/>
      <family val="2"/>
      <scheme val="minor"/>
    </font>
    <font>
      <i/>
      <sz val="12"/>
      <color rgb="FF0070C0"/>
      <name val="Calibri"/>
      <family val="2"/>
      <scheme val="minor"/>
    </font>
    <font>
      <b/>
      <sz val="10"/>
      <color theme="0"/>
      <name val="Calibri"/>
      <family val="2"/>
      <scheme val="minor"/>
    </font>
    <font>
      <sz val="10"/>
      <color theme="1"/>
      <name val="Calibri"/>
      <family val="2"/>
      <scheme val="minor"/>
    </font>
    <font>
      <b/>
      <sz val="10"/>
      <color theme="1"/>
      <name val="Calibri"/>
      <family val="2"/>
      <scheme val="minor"/>
    </font>
    <font>
      <b/>
      <sz val="10"/>
      <color rgb="FFFFFFFF"/>
      <name val="Calibri"/>
      <family val="2"/>
      <scheme val="minor"/>
    </font>
    <font>
      <sz val="10"/>
      <color rgb="FF000000"/>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C00000"/>
        <bgColor indexed="64"/>
      </patternFill>
    </fill>
    <fill>
      <patternFill patternType="solid">
        <fgColor theme="4" tint="-0.249977111117893"/>
        <bgColor indexed="64"/>
      </patternFill>
    </fill>
    <fill>
      <patternFill patternType="solid">
        <fgColor rgb="FFFFFF00"/>
        <bgColor indexed="64"/>
      </patternFill>
    </fill>
    <fill>
      <patternFill patternType="solid">
        <fgColor theme="5"/>
        <bgColor indexed="64"/>
      </patternFill>
    </fill>
    <fill>
      <patternFill patternType="solid">
        <fgColor rgb="FF92D050"/>
        <bgColor indexed="64"/>
      </patternFill>
    </fill>
    <fill>
      <patternFill patternType="solid">
        <fgColor theme="9"/>
        <bgColor indexed="64"/>
      </patternFill>
    </fill>
    <fill>
      <patternFill patternType="solid">
        <fgColor theme="8"/>
        <bgColor indexed="64"/>
      </patternFill>
    </fill>
    <fill>
      <patternFill patternType="solid">
        <fgColor rgb="FF305496"/>
        <bgColor rgb="FF000000"/>
      </patternFill>
    </fill>
    <fill>
      <patternFill patternType="solid">
        <fgColor rgb="FFFF0000"/>
        <bgColor rgb="FF000000"/>
      </patternFill>
    </fill>
    <fill>
      <patternFill patternType="solid">
        <fgColor rgb="FF00B0F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n">
        <color theme="0"/>
      </bottom>
      <diagonal/>
    </border>
    <border>
      <left style="thin">
        <color indexed="64"/>
      </left>
      <right style="thin">
        <color theme="0"/>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rgb="FF000000"/>
      </top>
      <bottom/>
      <diagonal/>
    </border>
    <border>
      <left/>
      <right/>
      <top style="thin">
        <color indexed="64"/>
      </top>
      <bottom style="double">
        <color indexed="64"/>
      </bottom>
      <diagonal/>
    </border>
  </borders>
  <cellStyleXfs count="1">
    <xf numFmtId="0" fontId="0" fillId="0" borderId="0"/>
  </cellStyleXfs>
  <cellXfs count="77">
    <xf numFmtId="0" fontId="0" fillId="0" borderId="0" xfId="0"/>
    <xf numFmtId="0" fontId="0" fillId="3" borderId="0" xfId="0" applyFill="1"/>
    <xf numFmtId="0" fontId="3" fillId="3" borderId="0" xfId="0" applyFont="1" applyFill="1"/>
    <xf numFmtId="0" fontId="4" fillId="0" borderId="0" xfId="0" applyFont="1" applyAlignment="1">
      <alignment horizontal="justify" vertical="top"/>
    </xf>
    <xf numFmtId="0" fontId="1" fillId="5" borderId="0" xfId="0" applyFont="1" applyFill="1"/>
    <xf numFmtId="0" fontId="3" fillId="5" borderId="0" xfId="0" applyFont="1" applyFill="1"/>
    <xf numFmtId="0" fontId="0" fillId="0" borderId="1" xfId="0" applyBorder="1"/>
    <xf numFmtId="0" fontId="0" fillId="2" borderId="1" xfId="0" applyFill="1" applyBorder="1"/>
    <xf numFmtId="0" fontId="0" fillId="0" borderId="0" xfId="0" applyAlignment="1">
      <alignment vertical="top"/>
    </xf>
    <xf numFmtId="0" fontId="0" fillId="0" borderId="2" xfId="0" applyBorder="1"/>
    <xf numFmtId="0" fontId="2" fillId="0" borderId="0" xfId="0" applyFont="1"/>
    <xf numFmtId="0" fontId="1" fillId="0" borderId="0" xfId="0" applyFont="1"/>
    <xf numFmtId="0" fontId="0" fillId="0" borderId="5" xfId="0" applyBorder="1"/>
    <xf numFmtId="0" fontId="0" fillId="9" borderId="3" xfId="0" applyFill="1" applyBorder="1" applyAlignment="1">
      <alignment horizontal="center" vertical="center"/>
    </xf>
    <xf numFmtId="0" fontId="0" fillId="8" borderId="3" xfId="0" applyFill="1" applyBorder="1" applyAlignment="1">
      <alignment horizontal="center" vertical="center"/>
    </xf>
    <xf numFmtId="0" fontId="0" fillId="7" borderId="3" xfId="0" applyFill="1" applyBorder="1" applyAlignment="1">
      <alignment horizontal="center" vertical="center"/>
    </xf>
    <xf numFmtId="0" fontId="0" fillId="3" borderId="3" xfId="0" applyFill="1" applyBorder="1" applyAlignment="1">
      <alignment horizontal="center" vertical="center"/>
    </xf>
    <xf numFmtId="0" fontId="0" fillId="6" borderId="3" xfId="0" applyFill="1" applyBorder="1" applyAlignment="1">
      <alignment horizontal="center" vertical="center"/>
    </xf>
    <xf numFmtId="0" fontId="0" fillId="0" borderId="0" xfId="0" applyProtection="1">
      <protection hidden="1"/>
    </xf>
    <xf numFmtId="0" fontId="0" fillId="9" borderId="3" xfId="0" applyFill="1" applyBorder="1" applyAlignment="1" applyProtection="1">
      <alignment horizontal="center" vertical="center"/>
      <protection hidden="1"/>
    </xf>
    <xf numFmtId="0" fontId="0" fillId="8" borderId="3" xfId="0" applyFill="1" applyBorder="1" applyAlignment="1" applyProtection="1">
      <alignment horizontal="center" vertical="center"/>
      <protection hidden="1"/>
    </xf>
    <xf numFmtId="0" fontId="0" fillId="7" borderId="3" xfId="0" applyFill="1" applyBorder="1" applyAlignment="1" applyProtection="1">
      <alignment horizontal="center" vertical="center"/>
      <protection hidden="1"/>
    </xf>
    <xf numFmtId="0" fontId="0" fillId="3" borderId="3" xfId="0" applyFill="1" applyBorder="1" applyAlignment="1" applyProtection="1">
      <alignment horizontal="center" vertical="center"/>
      <protection hidden="1"/>
    </xf>
    <xf numFmtId="0" fontId="0" fillId="6" borderId="3" xfId="0" applyFill="1" applyBorder="1" applyAlignment="1" applyProtection="1">
      <alignment horizontal="center" vertical="center"/>
      <protection hidden="1"/>
    </xf>
    <xf numFmtId="2" fontId="0" fillId="0" borderId="0" xfId="0" applyNumberFormat="1"/>
    <xf numFmtId="40" fontId="0" fillId="0" borderId="0" xfId="0" applyNumberFormat="1" applyProtection="1">
      <protection hidden="1"/>
    </xf>
    <xf numFmtId="0" fontId="5" fillId="0" borderId="0" xfId="0" applyFont="1"/>
    <xf numFmtId="0" fontId="1" fillId="3" borderId="0" xfId="0" applyFont="1" applyFill="1"/>
    <xf numFmtId="0" fontId="6" fillId="0" borderId="0" xfId="0" applyFont="1"/>
    <xf numFmtId="0" fontId="1" fillId="2" borderId="0" xfId="0" applyFont="1" applyFill="1" applyAlignment="1">
      <alignment horizontal="center" vertical="top"/>
    </xf>
    <xf numFmtId="0" fontId="7" fillId="4" borderId="0" xfId="0" applyFont="1" applyFill="1" applyAlignment="1">
      <alignment vertical="top" wrapText="1"/>
    </xf>
    <xf numFmtId="0" fontId="7" fillId="5" borderId="0" xfId="0" applyFont="1" applyFill="1" applyAlignment="1">
      <alignment vertical="top" wrapText="1"/>
    </xf>
    <xf numFmtId="0" fontId="8" fillId="0" borderId="1" xfId="0" applyFont="1" applyBorder="1" applyAlignment="1">
      <alignment vertical="top" wrapText="1"/>
    </xf>
    <xf numFmtId="0" fontId="8" fillId="2" borderId="1" xfId="0" applyFont="1" applyFill="1" applyBorder="1" applyAlignment="1">
      <alignment vertical="top" wrapText="1"/>
    </xf>
    <xf numFmtId="0" fontId="9" fillId="2" borderId="1" xfId="0" applyFont="1" applyFill="1" applyBorder="1" applyAlignment="1">
      <alignment vertical="top" wrapText="1"/>
    </xf>
    <xf numFmtId="0" fontId="9" fillId="0" borderId="0" xfId="0" applyFont="1" applyAlignment="1">
      <alignment horizontal="justify" vertical="top"/>
    </xf>
    <xf numFmtId="0" fontId="8" fillId="0" borderId="0" xfId="0" applyFont="1" applyAlignment="1">
      <alignment horizontal="justify" vertical="top"/>
    </xf>
    <xf numFmtId="0" fontId="8" fillId="0" borderId="0" xfId="0" applyFont="1" applyAlignment="1">
      <alignment wrapText="1"/>
    </xf>
    <xf numFmtId="0" fontId="8" fillId="0" borderId="0" xfId="0" applyFont="1" applyAlignment="1">
      <alignment horizontal="justify" vertical="top" wrapText="1"/>
    </xf>
    <xf numFmtId="0" fontId="10" fillId="11" borderId="0" xfId="0" applyFont="1" applyFill="1" applyAlignment="1">
      <alignment vertical="top" wrapText="1"/>
    </xf>
    <xf numFmtId="0" fontId="11" fillId="0" borderId="10" xfId="0" applyFont="1" applyBorder="1" applyAlignment="1">
      <alignment vertical="top" wrapText="1"/>
    </xf>
    <xf numFmtId="0" fontId="11" fillId="0" borderId="4" xfId="0" applyFont="1" applyBorder="1" applyAlignment="1">
      <alignment vertical="top" wrapText="1"/>
    </xf>
    <xf numFmtId="0" fontId="8" fillId="0" borderId="0" xfId="0" applyFont="1" applyAlignment="1">
      <alignment vertical="top" wrapText="1"/>
    </xf>
    <xf numFmtId="0" fontId="8" fillId="0" borderId="0" xfId="0" applyFont="1"/>
    <xf numFmtId="0" fontId="7" fillId="4" borderId="0" xfId="0" applyFont="1" applyFill="1"/>
    <xf numFmtId="0" fontId="8" fillId="4" borderId="0" xfId="0" applyFont="1" applyFill="1"/>
    <xf numFmtId="0" fontId="7" fillId="5" borderId="0" xfId="0" applyFont="1" applyFill="1" applyAlignment="1">
      <alignment horizontal="center" vertical="top" wrapText="1"/>
    </xf>
    <xf numFmtId="0" fontId="8" fillId="8" borderId="0" xfId="0" applyFont="1" applyFill="1"/>
    <xf numFmtId="164" fontId="8" fillId="0" borderId="0" xfId="0" applyNumberFormat="1" applyFont="1"/>
    <xf numFmtId="4" fontId="8" fillId="0" borderId="0" xfId="0" applyNumberFormat="1" applyFont="1"/>
    <xf numFmtId="40" fontId="8" fillId="0" borderId="0" xfId="0" applyNumberFormat="1" applyFont="1"/>
    <xf numFmtId="40" fontId="8" fillId="0" borderId="0" xfId="0" applyNumberFormat="1" applyFont="1" applyProtection="1">
      <protection locked="0"/>
    </xf>
    <xf numFmtId="0" fontId="8" fillId="13" borderId="1" xfId="0" applyFont="1" applyFill="1" applyBorder="1" applyAlignment="1">
      <alignment horizontal="left" vertical="top" wrapText="1"/>
    </xf>
    <xf numFmtId="0" fontId="8" fillId="13" borderId="0" xfId="0" applyFont="1" applyFill="1"/>
    <xf numFmtId="4" fontId="8" fillId="13" borderId="0" xfId="0" applyNumberFormat="1" applyFont="1" applyFill="1"/>
    <xf numFmtId="40" fontId="8" fillId="13" borderId="0" xfId="0" applyNumberFormat="1" applyFont="1" applyFill="1" applyProtection="1">
      <protection locked="0"/>
    </xf>
    <xf numFmtId="0" fontId="8" fillId="0" borderId="12" xfId="0" applyFont="1" applyBorder="1"/>
    <xf numFmtId="40" fontId="8" fillId="0" borderId="12" xfId="0" applyNumberFormat="1" applyFont="1" applyBorder="1"/>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12" borderId="6" xfId="0" applyFont="1" applyFill="1" applyBorder="1" applyAlignment="1">
      <alignment vertical="top" wrapText="1"/>
    </xf>
    <xf numFmtId="0" fontId="3" fillId="4" borderId="0" xfId="0" applyFont="1" applyFill="1" applyAlignment="1">
      <alignment horizontal="center" vertical="top"/>
    </xf>
    <xf numFmtId="0" fontId="0" fillId="0" borderId="0" xfId="0" applyAlignment="1">
      <alignment horizontal="center" vertical="top"/>
    </xf>
    <xf numFmtId="0" fontId="8" fillId="3" borderId="6" xfId="0" applyFont="1" applyFill="1" applyBorder="1" applyAlignment="1">
      <alignment vertical="top" wrapText="1"/>
    </xf>
    <xf numFmtId="0" fontId="8" fillId="0" borderId="1" xfId="0" applyFont="1" applyBorder="1" applyAlignment="1">
      <alignment horizontal="left" vertical="top" wrapText="1"/>
    </xf>
    <xf numFmtId="0" fontId="4" fillId="0" borderId="0" xfId="0" applyFont="1" applyAlignment="1">
      <alignment horizontal="justify" vertical="top"/>
    </xf>
    <xf numFmtId="0" fontId="8" fillId="0" borderId="0" xfId="0" applyFont="1" applyAlignment="1">
      <alignment horizontal="justify" vertical="top"/>
    </xf>
    <xf numFmtId="0" fontId="7" fillId="4" borderId="0" xfId="0" applyFont="1" applyFill="1" applyAlignment="1">
      <alignment horizontal="center" vertical="top" wrapText="1"/>
    </xf>
    <xf numFmtId="0" fontId="8" fillId="0" borderId="0" xfId="0" applyFont="1" applyAlignment="1">
      <alignment horizontal="center" vertical="top" wrapText="1"/>
    </xf>
    <xf numFmtId="0" fontId="4" fillId="0" borderId="0" xfId="0" applyFont="1" applyAlignment="1">
      <alignment horizontal="center" vertical="top"/>
    </xf>
    <xf numFmtId="0" fontId="0" fillId="0" borderId="0" xfId="0" applyAlignment="1">
      <alignment horizontal="justify" vertical="top"/>
    </xf>
    <xf numFmtId="0" fontId="1" fillId="10" borderId="0" xfId="0" applyFont="1" applyFill="1" applyAlignment="1">
      <alignment horizontal="justify" vertical="center" textRotation="90"/>
    </xf>
    <xf numFmtId="0" fontId="1" fillId="10" borderId="0" xfId="0" applyFont="1" applyFill="1" applyAlignment="1">
      <alignment horizontal="center" vertical="center"/>
    </xf>
    <xf numFmtId="0" fontId="11" fillId="0" borderId="11"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cellXfs>
  <cellStyles count="1">
    <cellStyle name="Normal" xfId="0" builtinId="0"/>
  </cellStyles>
  <dxfs count="524">
    <dxf>
      <font>
        <u val="none"/>
      </font>
      <fill>
        <patternFill>
          <bgColor rgb="FF92D050"/>
        </patternFill>
      </fill>
    </dxf>
    <dxf>
      <fill>
        <patternFill>
          <bgColor rgb="FFFFFF00"/>
        </patternFill>
      </fill>
    </dxf>
    <dxf>
      <border>
        <vertical/>
        <horizontal/>
      </border>
    </dxf>
    <dxf>
      <fill>
        <patternFill>
          <bgColor rgb="FFFF0000"/>
        </patternFill>
      </fill>
    </dxf>
    <dxf>
      <fill>
        <patternFill>
          <bgColor theme="5"/>
        </patternFill>
      </fill>
    </dxf>
    <dxf>
      <font>
        <u val="none"/>
      </font>
      <fill>
        <patternFill>
          <bgColor rgb="FF92D050"/>
        </patternFill>
      </fill>
    </dxf>
    <dxf>
      <fill>
        <patternFill>
          <bgColor rgb="FFFF0000"/>
        </patternFill>
      </fill>
    </dxf>
    <dxf>
      <fill>
        <patternFill>
          <bgColor theme="5"/>
        </patternFill>
      </fill>
    </dxf>
    <dxf>
      <fill>
        <patternFill>
          <bgColor rgb="FFFFFF00"/>
        </patternFill>
      </fill>
    </dxf>
    <dxf>
      <fill>
        <patternFill>
          <bgColor rgb="FF92D050"/>
        </patternFill>
      </fill>
    </dxf>
    <dxf>
      <font>
        <u val="none"/>
      </font>
      <fill>
        <patternFill>
          <bgColor rgb="FF92D050"/>
        </patternFill>
      </fill>
    </dxf>
    <dxf>
      <fill>
        <patternFill>
          <bgColor rgb="FFFFFF00"/>
        </patternFill>
      </fill>
    </dxf>
    <dxf>
      <fill>
        <patternFill>
          <bgColor rgb="FFFFFF00"/>
        </patternFill>
      </fill>
    </dxf>
    <dxf>
      <font>
        <u val="none"/>
      </font>
      <fill>
        <patternFill>
          <bgColor rgb="FF92D050"/>
        </patternFill>
      </fill>
    </dxf>
    <dxf>
      <font>
        <u val="none"/>
      </font>
      <fill>
        <patternFill>
          <bgColor rgb="FF92D050"/>
        </patternFill>
      </fill>
    </dxf>
    <dxf>
      <fill>
        <patternFill>
          <bgColor rgb="FFFFFF00"/>
        </patternFill>
      </fill>
    </dxf>
    <dxf>
      <font>
        <u val="none"/>
      </font>
      <fill>
        <patternFill>
          <bgColor rgb="FF92D050"/>
        </patternFill>
      </fill>
    </dxf>
    <dxf>
      <fill>
        <patternFill>
          <bgColor rgb="FFFFFF00"/>
        </patternFill>
      </fill>
    </dxf>
    <dxf>
      <fill>
        <patternFill>
          <bgColor rgb="FFFFFF00"/>
        </patternFill>
      </fill>
    </dxf>
    <dxf>
      <font>
        <u val="none"/>
      </font>
      <fill>
        <patternFill>
          <bgColor rgb="FF92D050"/>
        </patternFill>
      </fill>
    </dxf>
    <dxf>
      <font>
        <u val="none"/>
      </font>
      <fill>
        <patternFill>
          <bgColor rgb="FF92D050"/>
        </patternFill>
      </fill>
    </dxf>
    <dxf>
      <fill>
        <patternFill>
          <bgColor rgb="FFFFFF00"/>
        </patternFill>
      </fill>
    </dxf>
    <dxf>
      <fill>
        <patternFill>
          <bgColor rgb="FFFFFF00"/>
        </patternFill>
      </fill>
    </dxf>
    <dxf>
      <border>
        <vertical/>
        <horizontal/>
      </border>
    </dxf>
    <dxf>
      <border>
        <vertical/>
        <horizontal/>
      </border>
    </dxf>
    <dxf>
      <border>
        <vertical/>
        <horizontal/>
      </border>
    </dxf>
    <dxf>
      <border>
        <vertical/>
        <horizontal/>
      </border>
    </dxf>
    <dxf>
      <border>
        <vertical/>
        <horizontal/>
      </border>
    </dxf>
    <dxf>
      <border>
        <vertical/>
        <horizontal/>
      </border>
    </dxf>
    <dxf>
      <border>
        <vertical/>
        <horizontal/>
      </border>
    </dxf>
    <dxf>
      <fill>
        <patternFill>
          <bgColor theme="9"/>
        </patternFill>
      </fill>
    </dxf>
    <dxf>
      <fill>
        <patternFill>
          <bgColor rgb="FF92D050"/>
        </patternFill>
      </fill>
    </dxf>
    <dxf>
      <fill>
        <patternFill>
          <bgColor theme="5"/>
        </patternFill>
      </fill>
    </dxf>
    <dxf>
      <fill>
        <patternFill>
          <bgColor rgb="FF92D050"/>
        </patternFill>
      </fill>
    </dxf>
    <dxf>
      <fill>
        <patternFill>
          <bgColor rgb="FFFFFF00"/>
        </patternFill>
      </fill>
    </dxf>
    <dxf>
      <fill>
        <patternFill>
          <bgColor theme="5"/>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theme="9"/>
        </patternFill>
      </fill>
    </dxf>
    <dxf>
      <fill>
        <patternFill>
          <bgColor theme="5"/>
        </patternFill>
      </fill>
    </dxf>
    <dxf>
      <fill>
        <patternFill>
          <bgColor rgb="FFFFFF00"/>
        </patternFill>
      </fill>
    </dxf>
    <dxf>
      <fill>
        <patternFill>
          <bgColor rgb="FF92D050"/>
        </patternFill>
      </fill>
    </dxf>
    <dxf>
      <fill>
        <patternFill>
          <bgColor theme="5"/>
        </patternFill>
      </fill>
    </dxf>
    <dxf>
      <fill>
        <patternFill>
          <bgColor theme="5"/>
        </patternFill>
      </fill>
    </dxf>
    <dxf>
      <fill>
        <patternFill>
          <bgColor rgb="FFFFFF00"/>
        </patternFill>
      </fill>
    </dxf>
    <dxf>
      <fill>
        <patternFill>
          <bgColor rgb="FF92D050"/>
        </patternFill>
      </fill>
    </dxf>
    <dxf>
      <fill>
        <patternFill>
          <bgColor rgb="FFFF0000"/>
        </patternFill>
      </fill>
    </dxf>
    <dxf>
      <fill>
        <patternFill>
          <bgColor theme="5"/>
        </patternFill>
      </fill>
    </dxf>
    <dxf>
      <fill>
        <patternFill>
          <bgColor rgb="FFFFFF00"/>
        </patternFill>
      </fill>
    </dxf>
    <dxf>
      <fill>
        <patternFill>
          <bgColor rgb="FF92D050"/>
        </patternFill>
      </fill>
    </dxf>
    <dxf>
      <fill>
        <patternFill>
          <bgColor theme="9"/>
        </patternFill>
      </fill>
    </dxf>
    <dxf>
      <fill>
        <patternFill>
          <bgColor theme="5"/>
        </patternFill>
      </fill>
    </dxf>
    <dxf>
      <fill>
        <patternFill>
          <bgColor rgb="FFFFFF00"/>
        </patternFill>
      </fill>
    </dxf>
    <dxf>
      <fill>
        <patternFill>
          <bgColor rgb="FF92D050"/>
        </patternFill>
      </fill>
    </dxf>
    <dxf>
      <fill>
        <patternFill>
          <bgColor theme="9"/>
        </patternFill>
      </fill>
    </dxf>
    <dxf>
      <fill>
        <patternFill>
          <bgColor rgb="FFFFFF00"/>
        </patternFill>
      </fill>
    </dxf>
    <dxf>
      <fill>
        <patternFill>
          <bgColor rgb="FF92D050"/>
        </patternFill>
      </fill>
    </dxf>
    <dxf>
      <fill>
        <patternFill>
          <bgColor rgb="FFFF0000"/>
        </patternFill>
      </fill>
    </dxf>
    <dxf>
      <fill>
        <patternFill>
          <bgColor theme="5"/>
        </patternFill>
      </fill>
    </dxf>
    <dxf>
      <fill>
        <patternFill>
          <bgColor theme="5"/>
        </patternFill>
      </fill>
    </dxf>
    <dxf>
      <fill>
        <patternFill>
          <bgColor rgb="FFFF0000"/>
        </patternFill>
      </fill>
    </dxf>
    <dxf>
      <fill>
        <patternFill>
          <bgColor rgb="FF92D050"/>
        </patternFill>
      </fill>
    </dxf>
    <dxf>
      <fill>
        <patternFill>
          <bgColor theme="9"/>
        </patternFill>
      </fill>
    </dxf>
    <dxf>
      <fill>
        <patternFill>
          <bgColor theme="5"/>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theme="5"/>
        </patternFill>
      </fill>
    </dxf>
    <dxf>
      <fill>
        <patternFill>
          <bgColor theme="5"/>
        </patternFill>
      </fill>
    </dxf>
    <dxf>
      <fill>
        <patternFill>
          <bgColor rgb="FF92D050"/>
        </patternFill>
      </fill>
    </dxf>
    <dxf>
      <fill>
        <patternFill>
          <bgColor theme="9"/>
        </patternFill>
      </fill>
    </dxf>
    <dxf>
      <fill>
        <patternFill>
          <bgColor rgb="FFFFFF00"/>
        </patternFill>
      </fill>
    </dxf>
    <dxf>
      <fill>
        <patternFill>
          <bgColor rgb="FFFFFF00"/>
        </patternFill>
      </fill>
    </dxf>
    <dxf>
      <fill>
        <patternFill>
          <bgColor theme="5"/>
        </patternFill>
      </fill>
    </dxf>
    <dxf>
      <fill>
        <patternFill>
          <bgColor rgb="FFFFFF00"/>
        </patternFill>
      </fill>
    </dxf>
    <dxf>
      <fill>
        <patternFill>
          <bgColor rgb="FF92D050"/>
        </patternFill>
      </fill>
    </dxf>
    <dxf>
      <fill>
        <patternFill>
          <bgColor theme="9"/>
        </patternFill>
      </fill>
    </dxf>
    <dxf>
      <fill>
        <patternFill>
          <bgColor rgb="FFFFFF00"/>
        </patternFill>
      </fill>
    </dxf>
    <dxf>
      <fill>
        <patternFill>
          <bgColor rgb="FF92D050"/>
        </patternFill>
      </fill>
    </dxf>
    <dxf>
      <fill>
        <patternFill>
          <bgColor theme="5"/>
        </patternFill>
      </fill>
    </dxf>
    <dxf>
      <fill>
        <patternFill>
          <bgColor rgb="FFFF0000"/>
        </patternFill>
      </fill>
    </dxf>
    <dxf>
      <fill>
        <patternFill>
          <bgColor rgb="FF92D050"/>
        </patternFill>
      </fill>
    </dxf>
    <dxf>
      <fill>
        <patternFill>
          <bgColor theme="5"/>
        </patternFill>
      </fill>
    </dxf>
    <dxf>
      <fill>
        <patternFill>
          <bgColor theme="5"/>
        </patternFill>
      </fill>
    </dxf>
    <dxf>
      <fill>
        <patternFill>
          <bgColor theme="9"/>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theme="5"/>
        </patternFill>
      </fill>
    </dxf>
    <dxf>
      <fill>
        <patternFill>
          <bgColor theme="5"/>
        </patternFill>
      </fill>
    </dxf>
    <dxf>
      <fill>
        <patternFill>
          <bgColor theme="9"/>
        </patternFill>
      </fill>
    </dxf>
    <dxf>
      <fill>
        <patternFill>
          <bgColor rgb="FFFFFF00"/>
        </patternFill>
      </fill>
    </dxf>
    <dxf>
      <fill>
        <patternFill>
          <bgColor rgb="FF92D050"/>
        </patternFill>
      </fill>
    </dxf>
    <dxf>
      <fill>
        <patternFill>
          <bgColor rgb="FFFF0000"/>
        </patternFill>
      </fill>
    </dxf>
    <dxf>
      <fill>
        <patternFill>
          <bgColor theme="5"/>
        </patternFill>
      </fill>
    </dxf>
    <dxf>
      <fill>
        <patternFill>
          <bgColor rgb="FFFFFF00"/>
        </patternFill>
      </fill>
    </dxf>
    <dxf>
      <fill>
        <patternFill>
          <bgColor rgb="FF92D050"/>
        </patternFill>
      </fill>
    </dxf>
    <dxf>
      <fill>
        <patternFill>
          <bgColor theme="9"/>
        </patternFill>
      </fill>
    </dxf>
    <dxf>
      <fill>
        <patternFill>
          <bgColor theme="5"/>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theme="9"/>
        </patternFill>
      </fill>
    </dxf>
    <dxf>
      <border>
        <vertical/>
        <horizontal/>
      </border>
    </dxf>
    <dxf>
      <fill>
        <patternFill>
          <bgColor rgb="FF92D050"/>
        </patternFill>
      </fill>
    </dxf>
    <dxf>
      <fill>
        <patternFill>
          <bgColor theme="5"/>
        </patternFill>
      </fill>
    </dxf>
    <dxf>
      <fill>
        <patternFill>
          <bgColor theme="5"/>
        </patternFill>
      </fill>
    </dxf>
    <dxf>
      <fill>
        <patternFill>
          <bgColor theme="9"/>
        </patternFill>
      </fill>
    </dxf>
    <dxf>
      <fill>
        <patternFill>
          <bgColor rgb="FFFFC000"/>
        </patternFill>
      </fill>
    </dxf>
    <dxf>
      <fill>
        <patternFill>
          <bgColor rgb="FF92D050"/>
        </patternFill>
      </fill>
    </dxf>
    <dxf>
      <font>
        <color rgb="FF9C0006"/>
      </font>
      <fill>
        <patternFill>
          <bgColor rgb="FFFFC7CE"/>
        </patternFill>
      </fill>
    </dxf>
    <dxf>
      <fill>
        <patternFill>
          <bgColor theme="9"/>
        </patternFill>
      </fill>
    </dxf>
    <dxf>
      <fill>
        <patternFill>
          <bgColor theme="9"/>
        </patternFill>
      </fill>
    </dxf>
    <dxf>
      <fill>
        <patternFill>
          <bgColor rgb="FFFF0000"/>
        </patternFill>
      </fill>
    </dxf>
    <dxf>
      <border>
        <vertical/>
        <horizontal/>
      </border>
    </dxf>
    <dxf>
      <fill>
        <patternFill>
          <bgColor theme="9"/>
        </patternFill>
      </fill>
    </dxf>
    <dxf>
      <font>
        <color rgb="FF9C0006"/>
      </font>
      <fill>
        <patternFill>
          <bgColor rgb="FFFFC7CE"/>
        </patternFill>
      </fill>
    </dxf>
    <dxf>
      <fill>
        <patternFill>
          <bgColor rgb="FF92D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theme="5"/>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5"/>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rgb="FFFFFF00"/>
        </patternFill>
      </fill>
    </dxf>
    <dxf>
      <fill>
        <patternFill>
          <bgColor rgb="FF92D050"/>
        </patternFill>
      </fill>
    </dxf>
    <dxf>
      <border>
        <vertical/>
        <horizontal/>
      </border>
    </dxf>
    <dxf>
      <fill>
        <patternFill>
          <bgColor theme="9"/>
        </patternFill>
      </fill>
    </dxf>
    <dxf>
      <fill>
        <patternFill>
          <bgColor theme="5"/>
        </patternFill>
      </fill>
    </dxf>
    <dxf>
      <fill>
        <patternFill>
          <bgColor rgb="FFFF0000"/>
        </patternFill>
      </fill>
    </dxf>
    <dxf>
      <fill>
        <patternFill>
          <bgColor rgb="FFFF0000"/>
        </patternFill>
      </fill>
    </dxf>
    <dxf>
      <fill>
        <patternFill>
          <bgColor theme="5"/>
        </patternFill>
      </fill>
    </dxf>
    <dxf>
      <fill>
        <patternFill>
          <bgColor rgb="FFFFC000"/>
        </patternFill>
      </fill>
    </dxf>
    <dxf>
      <fill>
        <patternFill>
          <bgColor rgb="FF92D050"/>
        </patternFill>
      </fill>
    </dxf>
    <dxf>
      <font>
        <color rgb="FF9C0006"/>
      </font>
      <fill>
        <patternFill>
          <bgColor rgb="FFFFC7CE"/>
        </patternFill>
      </fill>
    </dxf>
    <dxf>
      <fill>
        <patternFill>
          <bgColor rgb="FF92D050"/>
        </patternFill>
      </fill>
    </dxf>
    <dxf>
      <fill>
        <patternFill>
          <bgColor rgb="FFFFFF00"/>
        </patternFill>
      </fill>
    </dxf>
    <dxf>
      <fill>
        <patternFill>
          <bgColor theme="5"/>
        </patternFill>
      </fill>
    </dxf>
    <dxf>
      <fill>
        <patternFill>
          <bgColor rgb="FFFF0000"/>
        </patternFill>
      </fill>
    </dxf>
    <dxf>
      <border>
        <vertical/>
        <horizontal/>
      </border>
    </dxf>
    <dxf>
      <fill>
        <patternFill>
          <bgColor theme="9"/>
        </patternFill>
      </fill>
    </dxf>
    <dxf>
      <font>
        <color rgb="FF9C0006"/>
      </font>
      <fill>
        <patternFill>
          <bgColor rgb="FFFFC7CE"/>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rgb="FFFF0000"/>
        </patternFill>
      </fill>
    </dxf>
    <dxf>
      <fill>
        <patternFill>
          <bgColor theme="5"/>
        </patternFill>
      </fill>
    </dxf>
    <dxf>
      <fill>
        <patternFill>
          <bgColor rgb="FFFFC000"/>
        </patternFill>
      </fill>
    </dxf>
    <dxf>
      <fill>
        <patternFill>
          <bgColor rgb="FF92D050"/>
        </patternFill>
      </fill>
    </dxf>
    <dxf>
      <fill>
        <patternFill>
          <bgColor rgb="FFFFC000"/>
        </patternFill>
      </fill>
    </dxf>
    <dxf>
      <fill>
        <patternFill>
          <bgColor theme="5"/>
        </patternFill>
      </fill>
    </dxf>
    <dxf>
      <fill>
        <patternFill>
          <bgColor rgb="FFFF0000"/>
        </patternFill>
      </fill>
    </dxf>
    <dxf>
      <fill>
        <patternFill>
          <bgColor rgb="FFFF0000"/>
        </patternFill>
      </fill>
    </dxf>
    <dxf>
      <fill>
        <patternFill>
          <bgColor theme="9"/>
        </patternFill>
      </fill>
    </dxf>
    <dxf>
      <fill>
        <patternFill>
          <bgColor rgb="FF92D050"/>
        </patternFill>
      </fill>
    </dxf>
    <dxf>
      <fill>
        <patternFill>
          <bgColor rgb="FFFFFF00"/>
        </patternFill>
      </fill>
    </dxf>
    <dxf>
      <fill>
        <patternFill>
          <bgColor rgb="FF92D050"/>
        </patternFill>
      </fill>
    </dxf>
    <dxf>
      <font>
        <color rgb="FF9C0006"/>
      </font>
      <fill>
        <patternFill>
          <bgColor rgb="FFFFC7CE"/>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5"/>
        </patternFill>
      </fill>
    </dxf>
    <dxf>
      <border>
        <vertical/>
        <horizontal/>
      </border>
    </dxf>
    <dxf>
      <fill>
        <patternFill>
          <bgColor rgb="FF92D050"/>
        </patternFill>
      </fill>
    </dxf>
    <dxf>
      <fill>
        <patternFill>
          <bgColor rgb="FFFFFF0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92D050"/>
        </patternFill>
      </fill>
    </dxf>
    <dxf>
      <border>
        <vertical/>
        <horizontal/>
      </border>
    </dxf>
    <dxf>
      <fill>
        <patternFill>
          <bgColor theme="5"/>
        </patternFill>
      </fill>
    </dxf>
    <dxf>
      <fill>
        <patternFill>
          <bgColor theme="9"/>
        </patternFill>
      </fill>
    </dxf>
    <dxf>
      <font>
        <color rgb="FF9C0006"/>
      </font>
      <fill>
        <patternFill>
          <bgColor rgb="FFFFC7CE"/>
        </patternFill>
      </fill>
    </dxf>
    <dxf>
      <fill>
        <patternFill>
          <bgColor theme="9"/>
        </patternFill>
      </fill>
    </dxf>
    <dxf>
      <fill>
        <patternFill>
          <bgColor rgb="FFFF0000"/>
        </patternFill>
      </fill>
    </dxf>
    <dxf>
      <fill>
        <patternFill>
          <bgColor theme="5"/>
        </patternFill>
      </fill>
    </dxf>
    <dxf>
      <fill>
        <patternFill>
          <bgColor rgb="FFFFC000"/>
        </patternFill>
      </fill>
    </dxf>
    <dxf>
      <fill>
        <patternFill>
          <bgColor theme="5"/>
        </patternFill>
      </fill>
    </dxf>
    <dxf>
      <fill>
        <patternFill>
          <bgColor theme="5"/>
        </patternFill>
      </fill>
    </dxf>
    <dxf>
      <fill>
        <patternFill>
          <bgColor rgb="FFFF0000"/>
        </patternFill>
      </fill>
    </dxf>
    <dxf>
      <fill>
        <patternFill>
          <bgColor rgb="FFFFC000"/>
        </patternFill>
      </fill>
    </dxf>
    <dxf>
      <fill>
        <patternFill>
          <bgColor theme="9"/>
        </patternFill>
      </fill>
    </dxf>
    <dxf>
      <fill>
        <patternFill>
          <bgColor theme="9"/>
        </patternFill>
      </fill>
    </dxf>
    <dxf>
      <fill>
        <patternFill>
          <bgColor theme="9"/>
        </patternFill>
      </fill>
    </dxf>
    <dxf>
      <font>
        <color rgb="FF9C0006"/>
      </font>
      <fill>
        <patternFill>
          <bgColor rgb="FFFFC7CE"/>
        </patternFill>
      </fill>
    </dxf>
    <dxf>
      <border>
        <vertical/>
        <horizontal/>
      </border>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theme="9"/>
        </patternFill>
      </fill>
    </dxf>
    <dxf>
      <fill>
        <patternFill>
          <bgColor rgb="FFFFC000"/>
        </patternFill>
      </fill>
    </dxf>
    <dxf>
      <fill>
        <patternFill>
          <bgColor rgb="FF92D050"/>
        </patternFill>
      </fill>
    </dxf>
    <dxf>
      <font>
        <color rgb="FF9C0006"/>
      </font>
      <fill>
        <patternFill>
          <bgColor rgb="FFFFC7CE"/>
        </patternFill>
      </fill>
    </dxf>
    <dxf>
      <fill>
        <patternFill>
          <bgColor theme="9"/>
        </patternFill>
      </fill>
    </dxf>
    <dxf>
      <border>
        <vertical/>
        <horizontal/>
      </border>
    </dxf>
    <dxf>
      <fill>
        <patternFill>
          <bgColor theme="5"/>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theme="5"/>
        </patternFill>
      </fill>
    </dxf>
    <dxf>
      <fill>
        <patternFill>
          <bgColor theme="9"/>
        </patternFill>
      </fill>
    </dxf>
    <dxf>
      <fill>
        <patternFill>
          <bgColor theme="5"/>
        </patternFill>
      </fill>
    </dxf>
    <dxf>
      <fill>
        <patternFill>
          <bgColor rgb="FFFFC000"/>
        </patternFill>
      </fill>
    </dxf>
    <dxf>
      <fill>
        <patternFill>
          <bgColor rgb="FF92D050"/>
        </patternFill>
      </fill>
    </dxf>
    <dxf>
      <font>
        <color rgb="FF9C0006"/>
      </font>
      <fill>
        <patternFill>
          <bgColor rgb="FFFFC7CE"/>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rgb="FFFFFF00"/>
        </patternFill>
      </fill>
    </dxf>
    <dxf>
      <fill>
        <patternFill>
          <bgColor theme="9"/>
        </patternFill>
      </fill>
    </dxf>
    <dxf>
      <fill>
        <patternFill>
          <bgColor rgb="FF92D050"/>
        </patternFill>
      </fill>
    </dxf>
    <dxf>
      <fill>
        <patternFill>
          <bgColor theme="5"/>
        </patternFill>
      </fill>
    </dxf>
    <dxf>
      <fill>
        <patternFill>
          <bgColor rgb="FFFF0000"/>
        </patternFill>
      </fill>
    </dxf>
    <dxf>
      <border>
        <vertical/>
        <horizontal/>
      </border>
    </dxf>
    <dxf>
      <fill>
        <patternFill>
          <bgColor rgb="FFFF0000"/>
        </patternFill>
      </fill>
    </dxf>
    <dxf>
      <border>
        <vertical/>
        <horizontal/>
      </border>
    </dxf>
    <dxf>
      <fill>
        <patternFill>
          <bgColor theme="9"/>
        </patternFill>
      </fill>
    </dxf>
    <dxf>
      <font>
        <color rgb="FF9C0006"/>
      </font>
      <fill>
        <patternFill>
          <bgColor rgb="FFFFC7CE"/>
        </patternFill>
      </fill>
    </dxf>
    <dxf>
      <fill>
        <patternFill>
          <bgColor rgb="FFFF0000"/>
        </patternFill>
      </fill>
    </dxf>
    <dxf>
      <fill>
        <patternFill>
          <bgColor rgb="FF92D050"/>
        </patternFill>
      </fill>
    </dxf>
    <dxf>
      <fill>
        <patternFill>
          <bgColor rgb="FFFFC000"/>
        </patternFill>
      </fill>
    </dxf>
    <dxf>
      <fill>
        <patternFill>
          <bgColor theme="9"/>
        </patternFill>
      </fill>
    </dxf>
    <dxf>
      <fill>
        <patternFill>
          <bgColor theme="9"/>
        </patternFill>
      </fill>
    </dxf>
    <dxf>
      <fill>
        <patternFill>
          <bgColor theme="9"/>
        </patternFill>
      </fill>
    </dxf>
    <dxf>
      <fill>
        <patternFill>
          <bgColor theme="5"/>
        </patternFill>
      </fill>
    </dxf>
    <dxf>
      <fill>
        <patternFill>
          <bgColor rgb="FF92D050"/>
        </patternFill>
      </fill>
    </dxf>
    <dxf>
      <fill>
        <patternFill>
          <bgColor theme="5"/>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theme="5"/>
        </patternFill>
      </fill>
    </dxf>
    <dxf>
      <fill>
        <patternFill>
          <bgColor theme="9"/>
        </patternFill>
      </fill>
    </dxf>
    <dxf>
      <fill>
        <patternFill>
          <bgColor rgb="FF92D050"/>
        </patternFill>
      </fill>
    </dxf>
    <dxf>
      <fill>
        <patternFill>
          <bgColor rgb="FFFFFF00"/>
        </patternFill>
      </fill>
    </dxf>
    <dxf>
      <fill>
        <patternFill>
          <bgColor theme="5"/>
        </patternFill>
      </fill>
    </dxf>
    <dxf>
      <fill>
        <patternFill>
          <bgColor rgb="FFFF0000"/>
        </patternFill>
      </fill>
    </dxf>
    <dxf>
      <fill>
        <patternFill>
          <bgColor rgb="FF92D050"/>
        </patternFill>
      </fill>
    </dxf>
    <dxf>
      <fill>
        <patternFill>
          <bgColor rgb="FFFF0000"/>
        </patternFill>
      </fill>
    </dxf>
    <dxf>
      <fill>
        <patternFill>
          <bgColor theme="5"/>
        </patternFill>
      </fill>
    </dxf>
    <dxf>
      <fill>
        <patternFill>
          <bgColor rgb="FFFFFF00"/>
        </patternFill>
      </fill>
    </dxf>
    <dxf>
      <fill>
        <patternFill>
          <bgColor rgb="FF92D050"/>
        </patternFill>
      </fill>
    </dxf>
    <dxf>
      <fill>
        <patternFill>
          <bgColor theme="9"/>
        </patternFill>
      </fill>
    </dxf>
    <dxf>
      <fill>
        <patternFill>
          <bgColor rgb="FF92D050"/>
        </patternFill>
      </fill>
    </dxf>
    <dxf>
      <fill>
        <patternFill>
          <bgColor theme="5"/>
        </patternFill>
      </fill>
    </dxf>
    <dxf>
      <fill>
        <patternFill>
          <bgColor rgb="FFFFFF00"/>
        </patternFill>
      </fill>
    </dxf>
    <dxf>
      <fill>
        <patternFill>
          <bgColor theme="9"/>
        </patternFill>
      </fill>
    </dxf>
    <dxf>
      <fill>
        <patternFill>
          <bgColor rgb="FFFFFF00"/>
        </patternFill>
      </fill>
    </dxf>
    <dxf>
      <fill>
        <patternFill>
          <bgColor rgb="FFFFFF00"/>
        </patternFill>
      </fill>
    </dxf>
    <dxf>
      <fill>
        <patternFill>
          <bgColor theme="5"/>
        </patternFill>
      </fill>
    </dxf>
    <dxf>
      <fill>
        <patternFill>
          <bgColor rgb="FFFF0000"/>
        </patternFill>
      </fill>
    </dxf>
    <dxf>
      <fill>
        <patternFill>
          <bgColor rgb="FF92D050"/>
        </patternFill>
      </fill>
    </dxf>
    <dxf>
      <fill>
        <patternFill>
          <bgColor theme="5"/>
        </patternFill>
      </fill>
    </dxf>
    <dxf>
      <fill>
        <patternFill>
          <bgColor rgb="FF92D050"/>
        </patternFill>
      </fill>
    </dxf>
    <dxf>
      <fill>
        <patternFill>
          <bgColor rgb="FFFFFF00"/>
        </patternFill>
      </fill>
    </dxf>
    <dxf>
      <fill>
        <patternFill>
          <bgColor rgb="FF92D050"/>
        </patternFill>
      </fill>
    </dxf>
    <dxf>
      <fill>
        <patternFill>
          <bgColor theme="5"/>
        </patternFill>
      </fill>
    </dxf>
    <dxf>
      <fill>
        <patternFill>
          <bgColor rgb="FFFF0000"/>
        </patternFill>
      </fill>
    </dxf>
    <dxf>
      <fill>
        <patternFill>
          <bgColor theme="5"/>
        </patternFill>
      </fill>
    </dxf>
    <dxf>
      <fill>
        <patternFill>
          <bgColor rgb="FFFFFF00"/>
        </patternFill>
      </fill>
    </dxf>
    <dxf>
      <fill>
        <patternFill>
          <bgColor theme="9"/>
        </patternFill>
      </fill>
    </dxf>
    <dxf>
      <fill>
        <patternFill>
          <bgColor rgb="FF92D050"/>
        </patternFill>
      </fill>
    </dxf>
    <dxf>
      <fill>
        <patternFill>
          <bgColor theme="5"/>
        </patternFill>
      </fill>
    </dxf>
    <dxf>
      <fill>
        <patternFill>
          <bgColor rgb="FF92D050"/>
        </patternFill>
      </fill>
    </dxf>
    <dxf>
      <fill>
        <patternFill>
          <bgColor theme="5"/>
        </patternFill>
      </fill>
    </dxf>
    <dxf>
      <fill>
        <patternFill>
          <bgColor theme="9"/>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theme="9"/>
        </patternFill>
      </fill>
    </dxf>
    <dxf>
      <fill>
        <patternFill>
          <bgColor rgb="FFFF0000"/>
        </patternFill>
      </fill>
    </dxf>
    <dxf>
      <fill>
        <patternFill>
          <bgColor theme="5"/>
        </patternFill>
      </fill>
    </dxf>
    <dxf>
      <fill>
        <patternFill>
          <bgColor theme="5"/>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theme="5"/>
        </patternFill>
      </fill>
    </dxf>
    <dxf>
      <fill>
        <patternFill>
          <bgColor rgb="FF92D050"/>
        </patternFill>
      </fill>
    </dxf>
    <dxf>
      <fill>
        <patternFill>
          <bgColor theme="9"/>
        </patternFill>
      </fill>
    </dxf>
    <dxf>
      <fill>
        <patternFill>
          <bgColor rgb="FFFFFF00"/>
        </patternFill>
      </fill>
    </dxf>
    <dxf>
      <fill>
        <patternFill>
          <bgColor theme="5"/>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theme="9"/>
        </patternFill>
      </fill>
    </dxf>
    <dxf>
      <fill>
        <patternFill>
          <bgColor theme="5"/>
        </patternFill>
      </fill>
    </dxf>
    <dxf>
      <fill>
        <patternFill>
          <bgColor rgb="FF92D050"/>
        </patternFill>
      </fill>
    </dxf>
    <dxf>
      <fill>
        <patternFill>
          <bgColor theme="5"/>
        </patternFill>
      </fill>
    </dxf>
    <dxf>
      <fill>
        <patternFill>
          <bgColor rgb="FFFFFF00"/>
        </patternFill>
      </fill>
    </dxf>
    <dxf>
      <fill>
        <patternFill>
          <bgColor theme="5"/>
        </patternFill>
      </fill>
    </dxf>
    <dxf>
      <fill>
        <patternFill>
          <bgColor rgb="FFFFFF00"/>
        </patternFill>
      </fill>
    </dxf>
    <dxf>
      <fill>
        <patternFill>
          <bgColor rgb="FF92D050"/>
        </patternFill>
      </fill>
    </dxf>
    <dxf>
      <fill>
        <patternFill>
          <bgColor theme="5"/>
        </patternFill>
      </fill>
    </dxf>
    <dxf>
      <fill>
        <patternFill>
          <bgColor rgb="FFFF0000"/>
        </patternFill>
      </fill>
    </dxf>
    <dxf>
      <fill>
        <patternFill>
          <bgColor rgb="FFFFFF00"/>
        </patternFill>
      </fill>
    </dxf>
    <dxf>
      <fill>
        <patternFill>
          <bgColor rgb="FF92D050"/>
        </patternFill>
      </fill>
    </dxf>
    <dxf>
      <fill>
        <patternFill>
          <bgColor theme="9"/>
        </patternFill>
      </fill>
    </dxf>
    <dxf>
      <fill>
        <patternFill>
          <bgColor theme="5"/>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theme="9"/>
        </patternFill>
      </fill>
    </dxf>
    <dxf>
      <fill>
        <patternFill>
          <bgColor theme="5"/>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theme="9"/>
        </patternFill>
      </fill>
    </dxf>
    <dxf>
      <fill>
        <patternFill>
          <bgColor theme="9"/>
        </patternFill>
      </fill>
    </dxf>
    <dxf>
      <border>
        <vertical/>
        <horizontal/>
      </border>
    </dxf>
    <dxf>
      <fill>
        <patternFill>
          <bgColor theme="9"/>
        </patternFill>
      </fill>
    </dxf>
    <dxf>
      <fill>
        <patternFill>
          <bgColor rgb="FFFFFF00"/>
        </patternFill>
      </fill>
    </dxf>
    <dxf>
      <fill>
        <patternFill>
          <bgColor rgb="FF92D050"/>
        </patternFill>
      </fill>
    </dxf>
    <dxf>
      <fill>
        <patternFill>
          <bgColor theme="5"/>
        </patternFill>
      </fill>
    </dxf>
    <dxf>
      <fill>
        <patternFill>
          <bgColor rgb="FFFF0000"/>
        </patternFill>
      </fill>
    </dxf>
    <dxf>
      <fill>
        <patternFill>
          <bgColor rgb="FFFF0000"/>
        </patternFill>
      </fill>
    </dxf>
    <dxf>
      <fill>
        <patternFill>
          <bgColor theme="5"/>
        </patternFill>
      </fill>
    </dxf>
    <dxf>
      <fill>
        <patternFill>
          <bgColor theme="9"/>
        </patternFill>
      </fill>
    </dxf>
    <dxf>
      <font>
        <color rgb="FF9C0006"/>
      </font>
      <fill>
        <patternFill>
          <bgColor rgb="FFFFC7CE"/>
        </patternFill>
      </fill>
    </dxf>
    <dxf>
      <fill>
        <patternFill>
          <bgColor rgb="FFFF0000"/>
        </patternFill>
      </fill>
    </dxf>
    <dxf>
      <fill>
        <patternFill>
          <bgColor theme="5"/>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rgb="FFFF0000"/>
        </patternFill>
      </fill>
    </dxf>
    <dxf>
      <fill>
        <patternFill>
          <bgColor theme="5"/>
        </patternFill>
      </fill>
    </dxf>
    <dxf>
      <fill>
        <patternFill>
          <bgColor rgb="FFFFC000"/>
        </patternFill>
      </fill>
    </dxf>
    <dxf>
      <fill>
        <patternFill>
          <bgColor rgb="FF92D050"/>
        </patternFill>
      </fill>
    </dxf>
    <dxf>
      <font>
        <color rgb="FF9C0006"/>
      </font>
      <fill>
        <patternFill>
          <bgColor rgb="FFFFC7CE"/>
        </patternFill>
      </fill>
    </dxf>
    <dxf>
      <fill>
        <patternFill>
          <bgColor theme="9"/>
        </patternFill>
      </fill>
    </dxf>
    <dxf>
      <border>
        <vertical/>
        <horizontal/>
      </border>
    </dxf>
    <dxf>
      <fill>
        <patternFill>
          <bgColor rgb="FFFF0000"/>
        </patternFill>
      </fill>
    </dxf>
    <dxf>
      <fill>
        <patternFill>
          <bgColor rgb="FFFFFF00"/>
        </patternFill>
      </fill>
    </dxf>
    <dxf>
      <fill>
        <patternFill>
          <bgColor rgb="FF92D05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theme="5"/>
        </patternFill>
      </fill>
    </dxf>
    <dxf>
      <fill>
        <patternFill>
          <bgColor rgb="FFFFC000"/>
        </patternFill>
      </fill>
    </dxf>
    <dxf>
      <fill>
        <patternFill>
          <bgColor rgb="FF92D050"/>
        </patternFill>
      </fill>
    </dxf>
    <dxf>
      <font>
        <color rgb="FF9C0006"/>
      </font>
      <fill>
        <patternFill>
          <bgColor rgb="FFFFC7CE"/>
        </patternFill>
      </fill>
    </dxf>
    <dxf>
      <fill>
        <patternFill>
          <bgColor theme="9"/>
        </patternFill>
      </fill>
    </dxf>
    <dxf>
      <border>
        <vertical/>
        <horizontal/>
      </border>
    </dxf>
    <dxf>
      <fill>
        <patternFill>
          <bgColor rgb="FFFF0000"/>
        </patternFill>
      </fill>
    </dxf>
    <dxf>
      <fill>
        <patternFill>
          <bgColor rgb="FFFFFF00"/>
        </patternFill>
      </fill>
    </dxf>
    <dxf>
      <fill>
        <patternFill>
          <bgColor rgb="FF92D050"/>
        </patternFill>
      </fill>
    </dxf>
    <dxf>
      <fill>
        <patternFill>
          <bgColor theme="5"/>
        </patternFill>
      </fill>
    </dxf>
    <dxf>
      <fill>
        <patternFill>
          <bgColor theme="5"/>
        </patternFill>
      </fill>
    </dxf>
    <dxf>
      <fill>
        <patternFill>
          <bgColor rgb="FFFFC000"/>
        </patternFill>
      </fill>
    </dxf>
    <dxf>
      <fill>
        <patternFill>
          <bgColor rgb="FF92D050"/>
        </patternFill>
      </fill>
    </dxf>
    <dxf>
      <font>
        <color rgb="FF9C0006"/>
      </font>
      <fill>
        <patternFill>
          <bgColor rgb="FFFFC7CE"/>
        </patternFill>
      </fill>
    </dxf>
    <dxf>
      <fill>
        <patternFill>
          <bgColor theme="9"/>
        </patternFill>
      </fill>
    </dxf>
    <dxf>
      <border>
        <vertical/>
        <horizontal/>
      </border>
    </dxf>
    <dxf>
      <fill>
        <patternFill>
          <bgColor theme="9"/>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theme="9"/>
        </patternFill>
      </fill>
    </dxf>
    <dxf>
      <fill>
        <patternFill>
          <bgColor theme="5"/>
        </patternFill>
      </fill>
    </dxf>
    <dxf>
      <fill>
        <patternFill>
          <bgColor theme="9"/>
        </patternFill>
      </fill>
    </dxf>
    <dxf>
      <fill>
        <patternFill>
          <bgColor rgb="FFFF0000"/>
        </patternFill>
      </fill>
    </dxf>
    <dxf>
      <fill>
        <patternFill>
          <bgColor theme="5"/>
        </patternFill>
      </fill>
    </dxf>
    <dxf>
      <fill>
        <patternFill>
          <bgColor rgb="FFFFC000"/>
        </patternFill>
      </fill>
    </dxf>
    <dxf>
      <fill>
        <patternFill>
          <bgColor rgb="FF92D050"/>
        </patternFill>
      </fill>
    </dxf>
    <dxf>
      <fill>
        <patternFill>
          <bgColor theme="5"/>
        </patternFill>
      </fill>
    </dxf>
    <dxf>
      <fill>
        <patternFill>
          <bgColor theme="9"/>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theme="9"/>
        </patternFill>
      </fill>
    </dxf>
    <dxf>
      <fill>
        <patternFill>
          <bgColor theme="9"/>
        </patternFill>
      </fill>
    </dxf>
    <dxf>
      <fill>
        <patternFill>
          <bgColor theme="9"/>
        </patternFill>
      </fill>
    </dxf>
    <dxf>
      <font>
        <color rgb="FF9C0006"/>
      </font>
      <fill>
        <patternFill>
          <bgColor rgb="FFFFC7CE"/>
        </patternFill>
      </fill>
    </dxf>
    <dxf>
      <border>
        <vertical/>
        <horizontal/>
      </border>
    </dxf>
    <dxf>
      <fill>
        <patternFill>
          <bgColor theme="5"/>
        </patternFill>
      </fill>
    </dxf>
    <dxf>
      <fill>
        <patternFill>
          <bgColor rgb="FFFFC000"/>
        </patternFill>
      </fill>
    </dxf>
    <dxf>
      <fill>
        <patternFill>
          <bgColor rgb="FF92D050"/>
        </patternFill>
      </fill>
    </dxf>
    <dxf>
      <fill>
        <patternFill>
          <bgColor theme="5"/>
        </patternFill>
      </fill>
    </dxf>
    <dxf>
      <fill>
        <patternFill>
          <bgColor theme="9"/>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theme="9"/>
        </patternFill>
      </fill>
    </dxf>
    <dxf>
      <fill>
        <patternFill>
          <bgColor theme="9"/>
        </patternFill>
      </fill>
    </dxf>
    <dxf>
      <fill>
        <patternFill>
          <bgColor theme="9"/>
        </patternFill>
      </fill>
    </dxf>
    <dxf>
      <font>
        <color rgb="FF9C0006"/>
      </font>
      <fill>
        <patternFill>
          <bgColor rgb="FFFFC7CE"/>
        </patternFill>
      </fill>
    </dxf>
    <dxf>
      <border>
        <vertical/>
        <horizontal/>
      </border>
    </dxf>
    <dxf>
      <fill>
        <patternFill>
          <bgColor theme="5"/>
        </patternFill>
      </fill>
    </dxf>
    <dxf>
      <fill>
        <patternFill>
          <bgColor rgb="FFFFC000"/>
        </patternFill>
      </fill>
    </dxf>
    <dxf>
      <fill>
        <patternFill>
          <bgColor rgb="FF92D050"/>
        </patternFill>
      </fill>
    </dxf>
    <dxf>
      <fill>
        <patternFill>
          <bgColor theme="9"/>
        </patternFill>
      </fill>
    </dxf>
    <dxf>
      <fill>
        <patternFill>
          <bgColor theme="9"/>
        </patternFill>
      </fill>
    </dxf>
    <dxf>
      <border>
        <vertical/>
        <horizontal/>
      </border>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theme="9"/>
        </patternFill>
      </fill>
    </dxf>
    <dxf>
      <fill>
        <patternFill>
          <bgColor theme="9"/>
        </patternFill>
      </fill>
    </dxf>
    <dxf>
      <font>
        <color rgb="FF9C0006"/>
      </font>
      <fill>
        <patternFill>
          <bgColor rgb="FFFFC7CE"/>
        </patternFill>
      </fill>
    </dxf>
    <dxf>
      <fill>
        <patternFill>
          <bgColor theme="5"/>
        </patternFill>
      </fill>
    </dxf>
    <dxf>
      <fill>
        <patternFill>
          <bgColor theme="5"/>
        </patternFill>
      </fill>
    </dxf>
    <dxf>
      <fill>
        <patternFill>
          <bgColor rgb="FFFFC000"/>
        </patternFill>
      </fill>
    </dxf>
    <dxf>
      <fill>
        <patternFill>
          <bgColor rgb="FF92D050"/>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theme="9"/>
        </patternFill>
      </fill>
    </dxf>
    <dxf>
      <fill>
        <patternFill>
          <bgColor theme="5"/>
        </patternFill>
      </fill>
    </dxf>
    <dxf>
      <font>
        <color rgb="FF9C0006"/>
      </font>
      <fill>
        <patternFill>
          <bgColor rgb="FFFFC7CE"/>
        </patternFill>
      </fill>
    </dxf>
    <dxf>
      <border>
        <vertical/>
        <horizontal/>
      </border>
    </dxf>
    <dxf>
      <fill>
        <patternFill>
          <bgColor theme="9"/>
        </patternFill>
      </fill>
    </dxf>
    <dxf>
      <fill>
        <patternFill>
          <bgColor rgb="FFFF0000"/>
        </patternFill>
      </fill>
    </dxf>
    <dxf>
      <fill>
        <patternFill>
          <bgColor rgb="FFFF0000"/>
        </patternFill>
      </fill>
    </dxf>
    <dxf>
      <fill>
        <patternFill>
          <bgColor theme="5"/>
        </patternFill>
      </fill>
    </dxf>
    <dxf>
      <fill>
        <patternFill>
          <bgColor rgb="FFFFC000"/>
        </patternFill>
      </fill>
    </dxf>
    <dxf>
      <fill>
        <patternFill>
          <bgColor rgb="FF92D050"/>
        </patternFill>
      </fill>
    </dxf>
    <dxf>
      <font>
        <color rgb="FF9C0006"/>
      </font>
      <fill>
        <patternFill>
          <bgColor rgb="FFFFC7CE"/>
        </patternFill>
      </fill>
    </dxf>
    <dxf>
      <fill>
        <patternFill>
          <bgColor theme="9"/>
        </patternFill>
      </fill>
    </dxf>
    <dxf>
      <border>
        <vertical/>
        <horizontal/>
      </border>
    </dxf>
    <dxf>
      <fill>
        <patternFill>
          <bgColor rgb="FFFF0000"/>
        </patternFill>
      </fill>
    </dxf>
    <dxf>
      <fill>
        <patternFill>
          <bgColor rgb="FFFFFF00"/>
        </patternFill>
      </fill>
    </dxf>
    <dxf>
      <fill>
        <patternFill>
          <bgColor rgb="FF92D050"/>
        </patternFill>
      </fill>
    </dxf>
    <dxf>
      <fill>
        <patternFill>
          <bgColor theme="9"/>
        </patternFill>
      </fill>
    </dxf>
    <dxf>
      <fill>
        <patternFill>
          <bgColor theme="9"/>
        </patternFill>
      </fill>
    </dxf>
    <dxf>
      <fill>
        <patternFill>
          <bgColor theme="5"/>
        </patternFill>
      </fill>
    </dxf>
    <dxf>
      <fill>
        <patternFill>
          <bgColor theme="5"/>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rgb="FFFF0000"/>
        </patternFill>
      </fill>
    </dxf>
    <dxf>
      <fill>
        <patternFill>
          <bgColor theme="5"/>
        </patternFill>
      </fill>
    </dxf>
    <dxf>
      <fill>
        <patternFill>
          <bgColor rgb="FFFFC000"/>
        </patternFill>
      </fill>
    </dxf>
    <dxf>
      <fill>
        <patternFill>
          <bgColor rgb="FF92D050"/>
        </patternFill>
      </fill>
    </dxf>
    <dxf>
      <font>
        <color rgb="FF9C0006"/>
      </font>
      <fill>
        <patternFill>
          <bgColor rgb="FFFFC7CE"/>
        </patternFill>
      </fill>
    </dxf>
    <dxf>
      <fill>
        <patternFill>
          <bgColor theme="9"/>
        </patternFill>
      </fill>
    </dxf>
    <dxf>
      <border>
        <vertical/>
        <horizontal/>
      </border>
    </dxf>
    <dxf>
      <fill>
        <patternFill>
          <bgColor rgb="FFFF0000"/>
        </patternFill>
      </fill>
    </dxf>
    <dxf>
      <fill>
        <patternFill>
          <bgColor rgb="FFFFFF00"/>
        </patternFill>
      </fill>
    </dxf>
    <dxf>
      <fill>
        <patternFill>
          <bgColor rgb="FF92D050"/>
        </patternFill>
      </fill>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strike val="0"/>
        <outline val="0"/>
        <shadow val="0"/>
        <u val="none"/>
        <vertAlign val="baseline"/>
        <sz val="12"/>
        <color rgb="FF0070C0"/>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25400</xdr:colOff>
      <xdr:row>0</xdr:row>
      <xdr:rowOff>12700</xdr:rowOff>
    </xdr:from>
    <xdr:to>
      <xdr:col>0</xdr:col>
      <xdr:colOff>1019983</xdr:colOff>
      <xdr:row>0</xdr:row>
      <xdr:rowOff>966470</xdr:rowOff>
    </xdr:to>
    <xdr:pic>
      <xdr:nvPicPr>
        <xdr:cNvPr id="2" name="Picture 1" descr="A logo for a company&#10;&#10;Description automatically generated">
          <a:extLst>
            <a:ext uri="{FF2B5EF4-FFF2-40B4-BE49-F238E27FC236}">
              <a16:creationId xmlns:a16="http://schemas.microsoft.com/office/drawing/2014/main" id="{0C441C24-84A7-414E-B86A-15DE9CAEBA25}"/>
            </a:ext>
          </a:extLst>
        </xdr:cNvPr>
        <xdr:cNvPicPr>
          <a:picLocks noChangeAspect="1"/>
        </xdr:cNvPicPr>
      </xdr:nvPicPr>
      <xdr:blipFill rotWithShape="1">
        <a:blip xmlns:r="http://schemas.openxmlformats.org/officeDocument/2006/relationships" r:embed="rId1"/>
        <a:srcRect l="38087" r="35565" b="37642"/>
        <a:stretch/>
      </xdr:blipFill>
      <xdr:spPr>
        <a:xfrm>
          <a:off x="25400" y="12700"/>
          <a:ext cx="994583" cy="9537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664383</xdr:colOff>
      <xdr:row>0</xdr:row>
      <xdr:rowOff>825500</xdr:rowOff>
    </xdr:to>
    <xdr:pic>
      <xdr:nvPicPr>
        <xdr:cNvPr id="4" name="Picture 3" descr="A logo for a company&#10;&#10;Description automatically generated">
          <a:extLst>
            <a:ext uri="{FF2B5EF4-FFF2-40B4-BE49-F238E27FC236}">
              <a16:creationId xmlns:a16="http://schemas.microsoft.com/office/drawing/2014/main" id="{20C53A60-3484-5348-B757-451C72D1828C}"/>
            </a:ext>
          </a:extLst>
        </xdr:cNvPr>
        <xdr:cNvPicPr>
          <a:picLocks noChangeAspect="1"/>
        </xdr:cNvPicPr>
      </xdr:nvPicPr>
      <xdr:blipFill rotWithShape="1">
        <a:blip xmlns:r="http://schemas.openxmlformats.org/officeDocument/2006/relationships" r:embed="rId1"/>
        <a:srcRect l="38087" r="35565" b="37642"/>
        <a:stretch/>
      </xdr:blipFill>
      <xdr:spPr>
        <a:xfrm>
          <a:off x="0" y="0"/>
          <a:ext cx="994583" cy="825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215900</xdr:colOff>
      <xdr:row>3</xdr:row>
      <xdr:rowOff>177800</xdr:rowOff>
    </xdr:from>
    <xdr:to>
      <xdr:col>2</xdr:col>
      <xdr:colOff>787400</xdr:colOff>
      <xdr:row>15</xdr:row>
      <xdr:rowOff>88900</xdr:rowOff>
    </xdr:to>
    <xdr:pic>
      <xdr:nvPicPr>
        <xdr:cNvPr id="2" name="Picture 1">
          <a:extLst>
            <a:ext uri="{FF2B5EF4-FFF2-40B4-BE49-F238E27FC236}">
              <a16:creationId xmlns:a16="http://schemas.microsoft.com/office/drawing/2014/main" id="{6676FDB1-A486-F3E0-08D5-70D54EC250EF}"/>
            </a:ext>
          </a:extLst>
        </xdr:cNvPr>
        <xdr:cNvPicPr>
          <a:picLocks noChangeAspect="1"/>
        </xdr:cNvPicPr>
      </xdr:nvPicPr>
      <xdr:blipFill>
        <a:blip xmlns:r="http://schemas.openxmlformats.org/officeDocument/2006/relationships" r:embed="rId1"/>
        <a:stretch>
          <a:fillRect/>
        </a:stretch>
      </xdr:blipFill>
      <xdr:spPr>
        <a:xfrm>
          <a:off x="215900" y="825500"/>
          <a:ext cx="3886200" cy="2349500"/>
        </a:xfrm>
        <a:prstGeom prst="rect">
          <a:avLst/>
        </a:prstGeom>
      </xdr:spPr>
    </xdr:pic>
    <xdr:clientData/>
  </xdr:twoCellAnchor>
  <xdr:twoCellAnchor editAs="oneCell">
    <xdr:from>
      <xdr:col>0</xdr:col>
      <xdr:colOff>63500</xdr:colOff>
      <xdr:row>15</xdr:row>
      <xdr:rowOff>101600</xdr:rowOff>
    </xdr:from>
    <xdr:to>
      <xdr:col>2</xdr:col>
      <xdr:colOff>698500</xdr:colOff>
      <xdr:row>27</xdr:row>
      <xdr:rowOff>12700</xdr:rowOff>
    </xdr:to>
    <xdr:pic>
      <xdr:nvPicPr>
        <xdr:cNvPr id="3" name="Picture 2">
          <a:extLst>
            <a:ext uri="{FF2B5EF4-FFF2-40B4-BE49-F238E27FC236}">
              <a16:creationId xmlns:a16="http://schemas.microsoft.com/office/drawing/2014/main" id="{8116FE0C-7285-D9BA-4CD4-F2E930AB5FEF}"/>
            </a:ext>
          </a:extLst>
        </xdr:cNvPr>
        <xdr:cNvPicPr>
          <a:picLocks noChangeAspect="1"/>
        </xdr:cNvPicPr>
      </xdr:nvPicPr>
      <xdr:blipFill>
        <a:blip xmlns:r="http://schemas.openxmlformats.org/officeDocument/2006/relationships" r:embed="rId2"/>
        <a:stretch>
          <a:fillRect/>
        </a:stretch>
      </xdr:blipFill>
      <xdr:spPr>
        <a:xfrm>
          <a:off x="63500" y="3187700"/>
          <a:ext cx="3949700" cy="2349500"/>
        </a:xfrm>
        <a:prstGeom prst="rect">
          <a:avLst/>
        </a:prstGeom>
      </xdr:spPr>
    </xdr:pic>
    <xdr:clientData/>
  </xdr:twoCellAnchor>
  <xdr:twoCellAnchor editAs="oneCell">
    <xdr:from>
      <xdr:col>0</xdr:col>
      <xdr:colOff>0</xdr:colOff>
      <xdr:row>27</xdr:row>
      <xdr:rowOff>139700</xdr:rowOff>
    </xdr:from>
    <xdr:to>
      <xdr:col>2</xdr:col>
      <xdr:colOff>596900</xdr:colOff>
      <xdr:row>40</xdr:row>
      <xdr:rowOff>38100</xdr:rowOff>
    </xdr:to>
    <xdr:pic>
      <xdr:nvPicPr>
        <xdr:cNvPr id="5" name="Picture 4">
          <a:extLst>
            <a:ext uri="{FF2B5EF4-FFF2-40B4-BE49-F238E27FC236}">
              <a16:creationId xmlns:a16="http://schemas.microsoft.com/office/drawing/2014/main" id="{5E8952C4-CBB4-EFCB-0596-2BF79F8A44DB}"/>
            </a:ext>
          </a:extLst>
        </xdr:cNvPr>
        <xdr:cNvPicPr>
          <a:picLocks noChangeAspect="1"/>
        </xdr:cNvPicPr>
      </xdr:nvPicPr>
      <xdr:blipFill>
        <a:blip xmlns:r="http://schemas.openxmlformats.org/officeDocument/2006/relationships" r:embed="rId3"/>
        <a:stretch>
          <a:fillRect/>
        </a:stretch>
      </xdr:blipFill>
      <xdr:spPr>
        <a:xfrm>
          <a:off x="0" y="5664200"/>
          <a:ext cx="3911600" cy="2540000"/>
        </a:xfrm>
        <a:prstGeom prst="rect">
          <a:avLst/>
        </a:prstGeom>
      </xdr:spPr>
    </xdr:pic>
    <xdr:clientData/>
  </xdr:twoCellAnchor>
  <xdr:twoCellAnchor editAs="oneCell">
    <xdr:from>
      <xdr:col>8</xdr:col>
      <xdr:colOff>177800</xdr:colOff>
      <xdr:row>16</xdr:row>
      <xdr:rowOff>76200</xdr:rowOff>
    </xdr:from>
    <xdr:to>
      <xdr:col>12</xdr:col>
      <xdr:colOff>571500</xdr:colOff>
      <xdr:row>27</xdr:row>
      <xdr:rowOff>190500</xdr:rowOff>
    </xdr:to>
    <xdr:pic>
      <xdr:nvPicPr>
        <xdr:cNvPr id="7" name="Picture 6">
          <a:extLst>
            <a:ext uri="{FF2B5EF4-FFF2-40B4-BE49-F238E27FC236}">
              <a16:creationId xmlns:a16="http://schemas.microsoft.com/office/drawing/2014/main" id="{55E57960-85E8-187D-0213-6F08219ED587}"/>
            </a:ext>
          </a:extLst>
        </xdr:cNvPr>
        <xdr:cNvPicPr>
          <a:picLocks noChangeAspect="1"/>
        </xdr:cNvPicPr>
      </xdr:nvPicPr>
      <xdr:blipFill>
        <a:blip xmlns:r="http://schemas.openxmlformats.org/officeDocument/2006/relationships" r:embed="rId4"/>
        <a:stretch>
          <a:fillRect/>
        </a:stretch>
      </xdr:blipFill>
      <xdr:spPr>
        <a:xfrm>
          <a:off x="9893300" y="3365500"/>
          <a:ext cx="3949700" cy="2349500"/>
        </a:xfrm>
        <a:prstGeom prst="rect">
          <a:avLst/>
        </a:prstGeom>
      </xdr:spPr>
    </xdr:pic>
    <xdr:clientData/>
  </xdr:twoCellAnchor>
  <xdr:twoCellAnchor editAs="oneCell">
    <xdr:from>
      <xdr:col>8</xdr:col>
      <xdr:colOff>292100</xdr:colOff>
      <xdr:row>29</xdr:row>
      <xdr:rowOff>165100</xdr:rowOff>
    </xdr:from>
    <xdr:to>
      <xdr:col>12</xdr:col>
      <xdr:colOff>571500</xdr:colOff>
      <xdr:row>41</xdr:row>
      <xdr:rowOff>63500</xdr:rowOff>
    </xdr:to>
    <xdr:pic>
      <xdr:nvPicPr>
        <xdr:cNvPr id="8" name="Picture 7">
          <a:extLst>
            <a:ext uri="{FF2B5EF4-FFF2-40B4-BE49-F238E27FC236}">
              <a16:creationId xmlns:a16="http://schemas.microsoft.com/office/drawing/2014/main" id="{4048B5A4-C4A4-2619-0E9D-E9141223F0AC}"/>
            </a:ext>
          </a:extLst>
        </xdr:cNvPr>
        <xdr:cNvPicPr>
          <a:picLocks noChangeAspect="1"/>
        </xdr:cNvPicPr>
      </xdr:nvPicPr>
      <xdr:blipFill>
        <a:blip xmlns:r="http://schemas.openxmlformats.org/officeDocument/2006/relationships" r:embed="rId5"/>
        <a:stretch>
          <a:fillRect/>
        </a:stretch>
      </xdr:blipFill>
      <xdr:spPr>
        <a:xfrm>
          <a:off x="10198100" y="6096000"/>
          <a:ext cx="3835400" cy="2336800"/>
        </a:xfrm>
        <a:prstGeom prst="rect">
          <a:avLst/>
        </a:prstGeom>
      </xdr:spPr>
    </xdr:pic>
    <xdr:clientData/>
  </xdr:twoCellAnchor>
  <xdr:twoCellAnchor editAs="oneCell">
    <xdr:from>
      <xdr:col>8</xdr:col>
      <xdr:colOff>431800</xdr:colOff>
      <xdr:row>4</xdr:row>
      <xdr:rowOff>50800</xdr:rowOff>
    </xdr:from>
    <xdr:to>
      <xdr:col>12</xdr:col>
      <xdr:colOff>723900</xdr:colOff>
      <xdr:row>15</xdr:row>
      <xdr:rowOff>165100</xdr:rowOff>
    </xdr:to>
    <xdr:pic>
      <xdr:nvPicPr>
        <xdr:cNvPr id="9" name="Picture 8">
          <a:extLst>
            <a:ext uri="{FF2B5EF4-FFF2-40B4-BE49-F238E27FC236}">
              <a16:creationId xmlns:a16="http://schemas.microsoft.com/office/drawing/2014/main" id="{BD9A5AFA-43B3-5CA1-B235-7A250803A209}"/>
            </a:ext>
          </a:extLst>
        </xdr:cNvPr>
        <xdr:cNvPicPr>
          <a:picLocks noChangeAspect="1"/>
        </xdr:cNvPicPr>
      </xdr:nvPicPr>
      <xdr:blipFill>
        <a:blip xmlns:r="http://schemas.openxmlformats.org/officeDocument/2006/relationships" r:embed="rId6"/>
        <a:stretch>
          <a:fillRect/>
        </a:stretch>
      </xdr:blipFill>
      <xdr:spPr>
        <a:xfrm>
          <a:off x="10147300" y="901700"/>
          <a:ext cx="3848100" cy="2349500"/>
        </a:xfrm>
        <a:prstGeom prst="rect">
          <a:avLst/>
        </a:prstGeom>
      </xdr:spPr>
    </xdr:pic>
    <xdr:clientData/>
  </xdr:twoCellAnchor>
  <xdr:oneCellAnchor>
    <xdr:from>
      <xdr:col>15</xdr:col>
      <xdr:colOff>292100</xdr:colOff>
      <xdr:row>17</xdr:row>
      <xdr:rowOff>76200</xdr:rowOff>
    </xdr:from>
    <xdr:ext cx="184731" cy="264560"/>
    <xdr:sp macro="" textlink="">
      <xdr:nvSpPr>
        <xdr:cNvPr id="10" name="TextBox 9">
          <a:extLst>
            <a:ext uri="{FF2B5EF4-FFF2-40B4-BE49-F238E27FC236}">
              <a16:creationId xmlns:a16="http://schemas.microsoft.com/office/drawing/2014/main" id="{106AB9A3-73C5-412F-3DCF-8DA73125FECE}"/>
            </a:ext>
          </a:extLst>
        </xdr:cNvPr>
        <xdr:cNvSpPr txBox="1"/>
      </xdr:nvSpPr>
      <xdr:spPr>
        <a:xfrm>
          <a:off x="13500100" y="332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editAs="oneCell">
    <xdr:from>
      <xdr:col>3</xdr:col>
      <xdr:colOff>330200</xdr:colOff>
      <xdr:row>3</xdr:row>
      <xdr:rowOff>88900</xdr:rowOff>
    </xdr:from>
    <xdr:to>
      <xdr:col>7</xdr:col>
      <xdr:colOff>635000</xdr:colOff>
      <xdr:row>16</xdr:row>
      <xdr:rowOff>190500</xdr:rowOff>
    </xdr:to>
    <xdr:pic>
      <xdr:nvPicPr>
        <xdr:cNvPr id="4" name="Picture 3">
          <a:extLst>
            <a:ext uri="{FF2B5EF4-FFF2-40B4-BE49-F238E27FC236}">
              <a16:creationId xmlns:a16="http://schemas.microsoft.com/office/drawing/2014/main" id="{5D854157-D1B6-024C-F23B-18557213B475}"/>
            </a:ext>
          </a:extLst>
        </xdr:cNvPr>
        <xdr:cNvPicPr>
          <a:picLocks noChangeAspect="1"/>
        </xdr:cNvPicPr>
      </xdr:nvPicPr>
      <xdr:blipFill>
        <a:blip xmlns:r="http://schemas.openxmlformats.org/officeDocument/2006/relationships" r:embed="rId7"/>
        <a:stretch>
          <a:fillRect/>
        </a:stretch>
      </xdr:blipFill>
      <xdr:spPr>
        <a:xfrm>
          <a:off x="4470400" y="736600"/>
          <a:ext cx="4775200" cy="27432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1679C6-BAE9-C048-9F93-5A195E9740CC}" name="Table1" displayName="Table1" ref="D17:H22" totalsRowShown="0" headerRowDxfId="523" dataDxfId="522">
  <autoFilter ref="D17:H22" xr:uid="{3F1679C6-BAE9-C048-9F93-5A195E9740CC}"/>
  <tableColumns count="5">
    <tableColumn id="1" xr3:uid="{25855D4B-01D2-C142-A542-FDAFD70ADC21}" name="Column1" dataDxfId="521"/>
    <tableColumn id="2" xr3:uid="{BDB4FB00-025D-0D4D-8B63-FCDFE636818E}" name="Column2" dataDxfId="520"/>
    <tableColumn id="3" xr3:uid="{DD4D43E8-EABB-8840-ABA7-883EBCD4DF7B}" name="Column3" dataDxfId="519"/>
    <tableColumn id="4" xr3:uid="{DA3AD74D-E4C3-F948-9BA1-DD0635FDC063}" name="Column4" dataDxfId="518"/>
    <tableColumn id="5" xr3:uid="{7BD3AAD3-1BDA-A147-900A-80DBA3AEF57A}" name="Column5" dataDxfId="5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6B6D37-328D-D946-8129-717043809A62}" name="Table2" displayName="Table2" ref="D31:H34" totalsRowShown="0" headerRowDxfId="516" dataDxfId="515">
  <autoFilter ref="D31:H34" xr:uid="{166B6D37-328D-D946-8129-717043809A62}"/>
  <tableColumns count="5">
    <tableColumn id="1" xr3:uid="{02C84390-AA6B-374D-8A00-1418F5CE39EC}" name="Column1" dataDxfId="514"/>
    <tableColumn id="2" xr3:uid="{153E7962-A1E2-6845-9019-39ECF332B17F}" name="Column2" dataDxfId="513"/>
    <tableColumn id="3" xr3:uid="{D707CDFB-91F9-6744-AA40-87FD263B261C}" name="Column3" dataDxfId="512"/>
    <tableColumn id="4" xr3:uid="{E1401248-DC70-DE4D-B9F8-3D5AEC840A8A}" name="Column4" dataDxfId="511"/>
    <tableColumn id="5" xr3:uid="{B8629265-A33F-5246-ACA7-36F2A33C6864}" name="Column5" dataDxfId="51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D17EA-665C-A747-B669-A9068C8A601C}">
  <dimension ref="A1:AE129"/>
  <sheetViews>
    <sheetView tabSelected="1" workbookViewId="0">
      <selection activeCell="B6" sqref="B6:B15"/>
    </sheetView>
  </sheetViews>
  <sheetFormatPr baseColWidth="10" defaultRowHeight="16" x14ac:dyDescent="0.2"/>
  <cols>
    <col min="1" max="1" width="16.83203125" customWidth="1"/>
    <col min="2" max="2" width="22.33203125" customWidth="1"/>
    <col min="3" max="3" width="17.33203125" customWidth="1"/>
    <col min="4" max="4" width="49.6640625" customWidth="1"/>
    <col min="5" max="5" width="11.6640625" customWidth="1"/>
    <col min="6" max="6" width="11.1640625" customWidth="1"/>
    <col min="7" max="7" width="13.5" customWidth="1"/>
    <col min="8" max="8" width="16.1640625" customWidth="1"/>
    <col min="9" max="9" width="14.5" customWidth="1"/>
    <col min="10" max="10" width="44.1640625" customWidth="1"/>
    <col min="12" max="12" width="14.83203125" customWidth="1"/>
    <col min="13" max="13" width="11.6640625" customWidth="1"/>
    <col min="14" max="14" width="24.33203125" customWidth="1"/>
    <col min="15" max="15" width="13.83203125" customWidth="1"/>
    <col min="16" max="16" width="44.83203125" customWidth="1"/>
    <col min="17" max="17" width="20.6640625" customWidth="1"/>
    <col min="18" max="18" width="19.83203125" customWidth="1"/>
    <col min="20" max="20" width="14.6640625" customWidth="1"/>
    <col min="21" max="24" width="10.83203125" hidden="1" customWidth="1"/>
    <col min="25" max="25" width="0" hidden="1" customWidth="1"/>
    <col min="26" max="31" width="10.83203125" hidden="1" customWidth="1"/>
  </cols>
  <sheetData>
    <row r="1" spans="1:25" ht="80" customHeight="1" x14ac:dyDescent="0.2">
      <c r="B1" s="66" t="s">
        <v>33</v>
      </c>
      <c r="C1" s="66"/>
      <c r="D1" s="66"/>
      <c r="E1" s="66"/>
      <c r="F1" s="66"/>
      <c r="G1" s="66"/>
      <c r="H1" s="66"/>
      <c r="I1" s="66"/>
      <c r="J1" s="66"/>
      <c r="K1" s="66"/>
      <c r="L1" s="66"/>
      <c r="M1" s="66"/>
      <c r="N1" s="66"/>
      <c r="O1" s="66"/>
      <c r="P1" s="66"/>
      <c r="Q1" s="66"/>
      <c r="R1" s="66"/>
    </row>
    <row r="2" spans="1:25" ht="29" customHeight="1" x14ac:dyDescent="0.2">
      <c r="A2" s="35" t="s">
        <v>34</v>
      </c>
      <c r="B2" s="67"/>
      <c r="C2" s="67"/>
      <c r="D2" s="35" t="s">
        <v>35</v>
      </c>
      <c r="E2" s="35"/>
      <c r="F2" s="35"/>
      <c r="G2" s="35"/>
      <c r="H2" s="35"/>
      <c r="I2" s="35"/>
      <c r="J2" s="35" t="s">
        <v>36</v>
      </c>
      <c r="K2" s="35"/>
      <c r="L2" s="35"/>
      <c r="M2" s="35"/>
      <c r="N2" s="35" t="s">
        <v>37</v>
      </c>
      <c r="O2" s="36"/>
      <c r="P2" s="36"/>
      <c r="Q2" s="36"/>
      <c r="R2" s="36"/>
    </row>
    <row r="3" spans="1:25" ht="20" customHeight="1" x14ac:dyDescent="0.2">
      <c r="A3" s="37"/>
      <c r="B3" s="38"/>
      <c r="C3" s="38"/>
      <c r="D3" s="38"/>
      <c r="E3" s="38" t="s">
        <v>19</v>
      </c>
      <c r="F3" s="38"/>
      <c r="G3" s="38"/>
      <c r="H3" s="38"/>
      <c r="I3" s="38"/>
      <c r="J3" s="38"/>
      <c r="K3" s="38"/>
      <c r="L3" s="38"/>
      <c r="M3" s="38"/>
      <c r="N3" s="38"/>
      <c r="O3" s="38"/>
      <c r="P3" s="38"/>
      <c r="Q3" s="38"/>
      <c r="R3" s="38"/>
      <c r="S3" s="11" t="s">
        <v>57</v>
      </c>
      <c r="T3" s="11"/>
    </row>
    <row r="4" spans="1:25" ht="19" x14ac:dyDescent="0.2">
      <c r="A4" s="30"/>
      <c r="B4" s="30"/>
      <c r="C4" s="30"/>
      <c r="D4" s="30" t="s">
        <v>0</v>
      </c>
      <c r="E4" s="68" t="s">
        <v>58</v>
      </c>
      <c r="F4" s="69"/>
      <c r="G4" s="30"/>
      <c r="H4" s="30"/>
      <c r="I4" s="30"/>
      <c r="J4" s="30" t="s">
        <v>19</v>
      </c>
      <c r="K4" s="30" t="s">
        <v>20</v>
      </c>
      <c r="L4" s="30" t="s">
        <v>19</v>
      </c>
      <c r="M4" s="30" t="s">
        <v>19</v>
      </c>
      <c r="N4" s="30" t="s">
        <v>19</v>
      </c>
      <c r="O4" s="30" t="s">
        <v>19</v>
      </c>
      <c r="P4" s="30" t="s">
        <v>19</v>
      </c>
      <c r="Q4" s="30" t="s">
        <v>19</v>
      </c>
      <c r="R4" s="30" t="s">
        <v>19</v>
      </c>
      <c r="S4" s="62" t="s">
        <v>59</v>
      </c>
      <c r="T4" s="63"/>
    </row>
    <row r="5" spans="1:25" ht="19" x14ac:dyDescent="0.25">
      <c r="A5" s="31" t="s">
        <v>26</v>
      </c>
      <c r="B5" s="31" t="s">
        <v>27</v>
      </c>
      <c r="C5" s="31" t="s">
        <v>28</v>
      </c>
      <c r="D5" s="31" t="s">
        <v>13</v>
      </c>
      <c r="E5" s="31" t="s">
        <v>41</v>
      </c>
      <c r="F5" s="31" t="s">
        <v>42</v>
      </c>
      <c r="G5" s="31" t="s">
        <v>14</v>
      </c>
      <c r="H5" s="31" t="s">
        <v>3</v>
      </c>
      <c r="I5" s="31" t="s">
        <v>49</v>
      </c>
      <c r="J5" s="31" t="s">
        <v>18</v>
      </c>
      <c r="K5" s="31" t="s">
        <v>5</v>
      </c>
      <c r="L5" s="31" t="s">
        <v>6</v>
      </c>
      <c r="M5" s="31" t="s">
        <v>1</v>
      </c>
      <c r="N5" s="31" t="s">
        <v>7</v>
      </c>
      <c r="O5" s="31" t="s">
        <v>8</v>
      </c>
      <c r="P5" s="31" t="s">
        <v>25</v>
      </c>
      <c r="Q5" s="31" t="s">
        <v>9</v>
      </c>
      <c r="R5" s="31" t="s">
        <v>12</v>
      </c>
      <c r="S5" s="4" t="s">
        <v>41</v>
      </c>
      <c r="T5" s="4" t="s">
        <v>42</v>
      </c>
      <c r="U5" t="s">
        <v>53</v>
      </c>
      <c r="V5">
        <v>1</v>
      </c>
      <c r="W5" t="s">
        <v>47</v>
      </c>
      <c r="X5">
        <v>1</v>
      </c>
      <c r="Y5" s="2" t="s">
        <v>32</v>
      </c>
    </row>
    <row r="6" spans="1:25" x14ac:dyDescent="0.2">
      <c r="A6" s="65" t="s">
        <v>29</v>
      </c>
      <c r="B6" s="65" t="s">
        <v>31</v>
      </c>
      <c r="C6" s="65" t="s">
        <v>30</v>
      </c>
      <c r="D6" s="32" t="s">
        <v>61</v>
      </c>
      <c r="E6" s="33" t="s">
        <v>45</v>
      </c>
      <c r="F6" s="32" t="s">
        <v>48</v>
      </c>
      <c r="G6" s="32" t="s">
        <v>15</v>
      </c>
      <c r="H6" s="32" t="s">
        <v>46</v>
      </c>
      <c r="I6" s="32" t="s">
        <v>2</v>
      </c>
      <c r="J6" s="32" t="s">
        <v>63</v>
      </c>
      <c r="K6" s="34" t="s">
        <v>10</v>
      </c>
      <c r="L6" s="32"/>
      <c r="M6" s="32" t="s">
        <v>67</v>
      </c>
      <c r="N6" s="32" t="s">
        <v>24</v>
      </c>
      <c r="O6" s="32"/>
      <c r="P6" s="32"/>
      <c r="Q6" s="32"/>
      <c r="R6" s="32"/>
      <c r="S6" s="7" t="s">
        <v>43</v>
      </c>
      <c r="T6" s="6" t="s">
        <v>52</v>
      </c>
      <c r="U6" t="s">
        <v>44</v>
      </c>
      <c r="V6">
        <v>2</v>
      </c>
      <c r="W6" t="s">
        <v>60</v>
      </c>
      <c r="X6">
        <v>2</v>
      </c>
      <c r="Y6" s="8" t="s">
        <v>19</v>
      </c>
    </row>
    <row r="7" spans="1:25" x14ac:dyDescent="0.2">
      <c r="A7" s="65"/>
      <c r="B7" s="65"/>
      <c r="C7" s="65"/>
      <c r="D7" s="32" t="s">
        <v>62</v>
      </c>
      <c r="E7" s="33" t="s">
        <v>54</v>
      </c>
      <c r="F7" s="32" t="s">
        <v>48</v>
      </c>
      <c r="G7" s="32" t="s">
        <v>16</v>
      </c>
      <c r="H7" s="32" t="s">
        <v>17</v>
      </c>
      <c r="I7" s="32" t="s">
        <v>2</v>
      </c>
      <c r="J7" s="32" t="s">
        <v>63</v>
      </c>
      <c r="K7" s="34" t="s">
        <v>10</v>
      </c>
      <c r="L7" s="32"/>
      <c r="M7" s="32" t="s">
        <v>67</v>
      </c>
      <c r="N7" s="32" t="s">
        <v>24</v>
      </c>
      <c r="O7" s="32"/>
      <c r="P7" s="32"/>
      <c r="Q7" s="32"/>
      <c r="R7" s="32"/>
      <c r="S7" s="7" t="s">
        <v>71</v>
      </c>
      <c r="T7" s="6" t="s">
        <v>71</v>
      </c>
      <c r="U7" t="s">
        <v>43</v>
      </c>
      <c r="V7">
        <v>3</v>
      </c>
      <c r="W7" t="s">
        <v>52</v>
      </c>
      <c r="X7">
        <v>3</v>
      </c>
      <c r="Y7" s="8"/>
    </row>
    <row r="8" spans="1:25" x14ac:dyDescent="0.2">
      <c r="A8" s="65"/>
      <c r="B8" s="65"/>
      <c r="C8" s="65"/>
      <c r="D8" s="32" t="s">
        <v>19</v>
      </c>
      <c r="E8" s="33" t="s">
        <v>71</v>
      </c>
      <c r="F8" s="32" t="s">
        <v>71</v>
      </c>
      <c r="G8" s="32" t="s">
        <v>15</v>
      </c>
      <c r="H8" s="32" t="s">
        <v>75</v>
      </c>
      <c r="I8" s="32" t="s">
        <v>21</v>
      </c>
      <c r="J8" s="32"/>
      <c r="K8" s="34" t="s">
        <v>10</v>
      </c>
      <c r="L8" s="32"/>
      <c r="M8" s="32"/>
      <c r="N8" s="32" t="s">
        <v>22</v>
      </c>
      <c r="O8" s="32"/>
      <c r="P8" s="32"/>
      <c r="Q8" s="32"/>
      <c r="R8" s="32"/>
      <c r="S8" s="7" t="s">
        <v>71</v>
      </c>
      <c r="T8" s="6" t="s">
        <v>71</v>
      </c>
      <c r="U8" t="s">
        <v>54</v>
      </c>
      <c r="V8">
        <v>4</v>
      </c>
      <c r="W8" t="s">
        <v>51</v>
      </c>
      <c r="X8">
        <v>4</v>
      </c>
      <c r="Y8" s="8"/>
    </row>
    <row r="9" spans="1:25" x14ac:dyDescent="0.2">
      <c r="A9" s="65"/>
      <c r="B9" s="65"/>
      <c r="C9" s="65"/>
      <c r="D9" s="32"/>
      <c r="E9" s="33" t="s">
        <v>71</v>
      </c>
      <c r="F9" s="32" t="s">
        <v>71</v>
      </c>
      <c r="G9" s="32" t="s">
        <v>15</v>
      </c>
      <c r="H9" s="32" t="s">
        <v>46</v>
      </c>
      <c r="I9" s="32" t="s">
        <v>21</v>
      </c>
      <c r="J9" s="32"/>
      <c r="K9" s="34" t="s">
        <v>10</v>
      </c>
      <c r="L9" s="32"/>
      <c r="M9" s="32"/>
      <c r="N9" s="32" t="s">
        <v>22</v>
      </c>
      <c r="O9" s="32"/>
      <c r="P9" s="32"/>
      <c r="Q9" s="32"/>
      <c r="R9" s="32"/>
      <c r="S9" s="7" t="s">
        <v>71</v>
      </c>
      <c r="T9" s="6" t="s">
        <v>71</v>
      </c>
      <c r="U9" t="s">
        <v>45</v>
      </c>
      <c r="V9">
        <v>5</v>
      </c>
      <c r="W9" t="s">
        <v>48</v>
      </c>
      <c r="X9">
        <v>5</v>
      </c>
      <c r="Y9" s="8"/>
    </row>
    <row r="10" spans="1:25" x14ac:dyDescent="0.2">
      <c r="A10" s="65"/>
      <c r="B10" s="65"/>
      <c r="C10" s="65"/>
      <c r="D10" s="32"/>
      <c r="E10" s="33" t="s">
        <v>71</v>
      </c>
      <c r="F10" s="32" t="s">
        <v>71</v>
      </c>
      <c r="G10" s="32" t="s">
        <v>15</v>
      </c>
      <c r="H10" s="32" t="s">
        <v>46</v>
      </c>
      <c r="I10" s="32" t="s">
        <v>50</v>
      </c>
      <c r="J10" s="32"/>
      <c r="K10" s="34" t="s">
        <v>10</v>
      </c>
      <c r="L10" s="32"/>
      <c r="M10" s="32" t="s">
        <v>66</v>
      </c>
      <c r="N10" s="32" t="s">
        <v>23</v>
      </c>
      <c r="O10" s="32"/>
      <c r="P10" s="32"/>
      <c r="Q10" s="32"/>
      <c r="R10" s="32"/>
      <c r="S10" s="7" t="s">
        <v>71</v>
      </c>
      <c r="T10" s="6" t="s">
        <v>71</v>
      </c>
      <c r="U10" t="s">
        <v>71</v>
      </c>
      <c r="W10" t="s">
        <v>71</v>
      </c>
    </row>
    <row r="11" spans="1:25" x14ac:dyDescent="0.2">
      <c r="A11" s="65"/>
      <c r="B11" s="65"/>
      <c r="C11" s="65"/>
      <c r="D11" s="32"/>
      <c r="E11" s="33" t="s">
        <v>71</v>
      </c>
      <c r="F11" s="32" t="s">
        <v>71</v>
      </c>
      <c r="G11" s="32" t="s">
        <v>15</v>
      </c>
      <c r="H11" s="32" t="s">
        <v>46</v>
      </c>
      <c r="I11" s="32" t="s">
        <v>21</v>
      </c>
      <c r="J11" s="32"/>
      <c r="K11" s="34" t="s">
        <v>10</v>
      </c>
      <c r="L11" s="32"/>
      <c r="M11" s="32"/>
      <c r="N11" s="32" t="s">
        <v>22</v>
      </c>
      <c r="O11" s="32"/>
      <c r="P11" s="32"/>
      <c r="Q11" s="32"/>
      <c r="R11" s="32"/>
      <c r="S11" s="7" t="s">
        <v>71</v>
      </c>
      <c r="T11" s="6" t="s">
        <v>71</v>
      </c>
    </row>
    <row r="12" spans="1:25" x14ac:dyDescent="0.2">
      <c r="A12" s="65"/>
      <c r="B12" s="65"/>
      <c r="C12" s="65"/>
      <c r="D12" s="32"/>
      <c r="E12" s="33" t="s">
        <v>71</v>
      </c>
      <c r="F12" s="32" t="s">
        <v>71</v>
      </c>
      <c r="G12" s="32" t="s">
        <v>15</v>
      </c>
      <c r="H12" s="32" t="s">
        <v>46</v>
      </c>
      <c r="I12" s="32" t="s">
        <v>21</v>
      </c>
      <c r="J12" s="32"/>
      <c r="K12" s="34" t="s">
        <v>65</v>
      </c>
      <c r="L12" s="32"/>
      <c r="M12" s="32" t="s">
        <v>21</v>
      </c>
      <c r="N12" s="32" t="s">
        <v>22</v>
      </c>
      <c r="O12" s="32"/>
      <c r="P12" s="32"/>
      <c r="Q12" s="32"/>
      <c r="R12" s="32"/>
      <c r="S12" s="7" t="s">
        <v>71</v>
      </c>
      <c r="T12" s="6" t="s">
        <v>71</v>
      </c>
    </row>
    <row r="13" spans="1:25" x14ac:dyDescent="0.2">
      <c r="A13" s="65"/>
      <c r="B13" s="65"/>
      <c r="C13" s="65"/>
      <c r="D13" s="32"/>
      <c r="E13" s="33" t="s">
        <v>71</v>
      </c>
      <c r="F13" s="32" t="s">
        <v>71</v>
      </c>
      <c r="G13" s="32" t="s">
        <v>15</v>
      </c>
      <c r="H13" s="32" t="s">
        <v>46</v>
      </c>
      <c r="I13" s="32" t="s">
        <v>2</v>
      </c>
      <c r="J13" s="32"/>
      <c r="K13" s="34" t="s">
        <v>65</v>
      </c>
      <c r="L13" s="32"/>
      <c r="M13" s="32"/>
      <c r="N13" s="32" t="s">
        <v>23</v>
      </c>
      <c r="O13" s="32"/>
      <c r="P13" s="32"/>
      <c r="Q13" s="32"/>
      <c r="R13" s="32"/>
      <c r="S13" s="7" t="s">
        <v>71</v>
      </c>
      <c r="T13" s="6" t="s">
        <v>71</v>
      </c>
    </row>
    <row r="14" spans="1:25" ht="30" x14ac:dyDescent="0.2">
      <c r="A14" s="65"/>
      <c r="B14" s="65"/>
      <c r="C14" s="65"/>
      <c r="D14" s="32"/>
      <c r="E14" s="33" t="s">
        <v>71</v>
      </c>
      <c r="F14" s="32" t="s">
        <v>71</v>
      </c>
      <c r="G14" s="32" t="s">
        <v>15</v>
      </c>
      <c r="H14" s="32" t="s">
        <v>46</v>
      </c>
      <c r="I14" s="32" t="s">
        <v>21</v>
      </c>
      <c r="J14" s="32"/>
      <c r="K14" s="34" t="s">
        <v>10</v>
      </c>
      <c r="L14" s="32"/>
      <c r="M14" s="32" t="s">
        <v>40</v>
      </c>
      <c r="N14" s="32" t="s">
        <v>11</v>
      </c>
      <c r="O14" s="32"/>
      <c r="P14" s="32"/>
      <c r="Q14" s="32"/>
      <c r="R14" s="32"/>
      <c r="S14" s="7" t="s">
        <v>71</v>
      </c>
      <c r="T14" s="6" t="s">
        <v>71</v>
      </c>
    </row>
    <row r="15" spans="1:25" x14ac:dyDescent="0.2">
      <c r="A15" s="65"/>
      <c r="B15" s="65"/>
      <c r="C15" s="65"/>
      <c r="D15" s="32"/>
      <c r="E15" s="33" t="s">
        <v>71</v>
      </c>
      <c r="F15" s="32" t="s">
        <v>71</v>
      </c>
      <c r="G15" s="32" t="s">
        <v>15</v>
      </c>
      <c r="H15" s="32" t="s">
        <v>46</v>
      </c>
      <c r="I15" s="32" t="s">
        <v>21</v>
      </c>
      <c r="J15" s="32"/>
      <c r="K15" s="34" t="s">
        <v>10</v>
      </c>
      <c r="L15" s="32"/>
      <c r="M15" s="32"/>
      <c r="N15" s="32" t="s">
        <v>24</v>
      </c>
      <c r="O15" s="32"/>
      <c r="P15" s="32"/>
      <c r="Q15" s="32"/>
      <c r="R15" s="32"/>
      <c r="S15" s="7" t="s">
        <v>71</v>
      </c>
      <c r="T15" s="6" t="s">
        <v>71</v>
      </c>
    </row>
    <row r="16" spans="1:25" x14ac:dyDescent="0.2">
      <c r="A16" s="64"/>
      <c r="B16" s="64"/>
      <c r="C16" s="64"/>
      <c r="D16" s="64"/>
      <c r="E16" s="64"/>
      <c r="F16" s="64"/>
      <c r="G16" s="64"/>
      <c r="H16" s="64"/>
      <c r="I16" s="64"/>
      <c r="J16" s="64"/>
      <c r="K16" s="64"/>
      <c r="L16" s="64"/>
      <c r="M16" s="64"/>
      <c r="N16" s="64"/>
      <c r="O16" s="64"/>
      <c r="P16" s="64"/>
      <c r="Q16" s="64"/>
      <c r="R16" s="64"/>
      <c r="S16" s="1"/>
      <c r="T16" s="1"/>
    </row>
    <row r="17" spans="1:30" ht="19" x14ac:dyDescent="0.25">
      <c r="A17" s="31" t="s">
        <v>26</v>
      </c>
      <c r="B17" s="31" t="s">
        <v>27</v>
      </c>
      <c r="C17" s="31" t="s">
        <v>28</v>
      </c>
      <c r="D17" s="31" t="s">
        <v>13</v>
      </c>
      <c r="E17" s="31" t="s">
        <v>41</v>
      </c>
      <c r="F17" s="31" t="s">
        <v>42</v>
      </c>
      <c r="G17" s="31" t="s">
        <v>14</v>
      </c>
      <c r="H17" s="31" t="s">
        <v>3</v>
      </c>
      <c r="I17" s="31" t="s">
        <v>49</v>
      </c>
      <c r="J17" s="31" t="s">
        <v>18</v>
      </c>
      <c r="K17" s="31" t="s">
        <v>5</v>
      </c>
      <c r="L17" s="31" t="s">
        <v>6</v>
      </c>
      <c r="M17" s="31" t="s">
        <v>1</v>
      </c>
      <c r="N17" s="31" t="s">
        <v>7</v>
      </c>
      <c r="O17" s="31" t="s">
        <v>8</v>
      </c>
      <c r="P17" s="31" t="s">
        <v>25</v>
      </c>
      <c r="Q17" s="31" t="s">
        <v>9</v>
      </c>
      <c r="R17" s="31" t="s">
        <v>12</v>
      </c>
      <c r="S17" s="4" t="s">
        <v>41</v>
      </c>
      <c r="T17" s="4" t="s">
        <v>42</v>
      </c>
      <c r="U17" t="s">
        <v>53</v>
      </c>
      <c r="V17">
        <v>1</v>
      </c>
      <c r="W17" t="s">
        <v>47</v>
      </c>
      <c r="X17">
        <v>1</v>
      </c>
      <c r="Y17" s="2" t="s">
        <v>32</v>
      </c>
    </row>
    <row r="18" spans="1:30" ht="60" x14ac:dyDescent="0.2">
      <c r="A18" s="65"/>
      <c r="B18" s="65" t="s">
        <v>19</v>
      </c>
      <c r="C18" s="65" t="s">
        <v>19</v>
      </c>
      <c r="D18" s="32" t="s">
        <v>119</v>
      </c>
      <c r="E18" s="33" t="s">
        <v>45</v>
      </c>
      <c r="F18" s="32" t="s">
        <v>48</v>
      </c>
      <c r="G18" s="32" t="s">
        <v>15</v>
      </c>
      <c r="H18" s="32" t="s">
        <v>46</v>
      </c>
      <c r="I18" s="32" t="s">
        <v>50</v>
      </c>
      <c r="J18" s="32" t="s">
        <v>120</v>
      </c>
      <c r="K18" s="34" t="s">
        <v>10</v>
      </c>
      <c r="L18" s="32" t="s">
        <v>121</v>
      </c>
      <c r="M18" s="32" t="s">
        <v>40</v>
      </c>
      <c r="N18" s="32" t="s">
        <v>24</v>
      </c>
      <c r="O18" s="32" t="s">
        <v>122</v>
      </c>
      <c r="P18" s="32" t="s">
        <v>123</v>
      </c>
      <c r="Q18" s="32" t="s">
        <v>124</v>
      </c>
      <c r="R18" s="32"/>
      <c r="S18" s="7" t="s">
        <v>54</v>
      </c>
      <c r="T18" s="6" t="s">
        <v>51</v>
      </c>
      <c r="U18" t="s">
        <v>44</v>
      </c>
      <c r="V18">
        <v>2</v>
      </c>
      <c r="W18" t="s">
        <v>60</v>
      </c>
      <c r="X18">
        <v>2</v>
      </c>
      <c r="Y18" s="8" t="s">
        <v>19</v>
      </c>
    </row>
    <row r="19" spans="1:30" x14ac:dyDescent="0.2">
      <c r="A19" s="65"/>
      <c r="B19" s="65"/>
      <c r="C19" s="65"/>
      <c r="D19" s="32"/>
      <c r="E19" s="33" t="s">
        <v>71</v>
      </c>
      <c r="F19" s="32" t="s">
        <v>71</v>
      </c>
      <c r="G19" s="32" t="s">
        <v>16</v>
      </c>
      <c r="H19" s="32" t="s">
        <v>74</v>
      </c>
      <c r="I19" s="32" t="s">
        <v>2</v>
      </c>
      <c r="J19" s="32"/>
      <c r="K19" s="34" t="s">
        <v>10</v>
      </c>
      <c r="L19" s="32"/>
      <c r="M19" s="32"/>
      <c r="N19" s="32" t="s">
        <v>23</v>
      </c>
      <c r="O19" s="32"/>
      <c r="P19" s="32"/>
      <c r="Q19" s="32"/>
      <c r="R19" s="32"/>
      <c r="S19" s="7" t="s">
        <v>71</v>
      </c>
      <c r="T19" s="6" t="s">
        <v>71</v>
      </c>
      <c r="U19" t="s">
        <v>43</v>
      </c>
      <c r="V19">
        <v>3</v>
      </c>
      <c r="W19" t="s">
        <v>52</v>
      </c>
      <c r="X19">
        <v>3</v>
      </c>
      <c r="Y19" s="8"/>
    </row>
    <row r="20" spans="1:30" x14ac:dyDescent="0.2">
      <c r="A20" s="65"/>
      <c r="B20" s="65"/>
      <c r="C20" s="65"/>
      <c r="D20" s="32" t="s">
        <v>19</v>
      </c>
      <c r="E20" s="33" t="s">
        <v>71</v>
      </c>
      <c r="F20" s="32" t="s">
        <v>71</v>
      </c>
      <c r="G20" s="32" t="s">
        <v>16</v>
      </c>
      <c r="H20" s="32" t="s">
        <v>46</v>
      </c>
      <c r="I20" s="32" t="s">
        <v>21</v>
      </c>
      <c r="J20" s="32"/>
      <c r="K20" s="34" t="s">
        <v>10</v>
      </c>
      <c r="L20" s="32"/>
      <c r="M20" s="32"/>
      <c r="N20" s="32" t="s">
        <v>22</v>
      </c>
      <c r="O20" s="32"/>
      <c r="P20" s="32"/>
      <c r="Q20" s="32"/>
      <c r="R20" s="32"/>
      <c r="S20" s="7" t="s">
        <v>71</v>
      </c>
      <c r="T20" s="6" t="s">
        <v>71</v>
      </c>
      <c r="U20" t="s">
        <v>54</v>
      </c>
      <c r="V20">
        <v>4</v>
      </c>
      <c r="W20" t="s">
        <v>51</v>
      </c>
      <c r="X20">
        <v>4</v>
      </c>
      <c r="Y20" s="8"/>
    </row>
    <row r="21" spans="1:30" x14ac:dyDescent="0.2">
      <c r="A21" s="65"/>
      <c r="B21" s="65"/>
      <c r="C21" s="65"/>
      <c r="D21" s="32"/>
      <c r="E21" s="33" t="s">
        <v>71</v>
      </c>
      <c r="F21" s="32" t="s">
        <v>71</v>
      </c>
      <c r="G21" s="32" t="s">
        <v>15</v>
      </c>
      <c r="H21" s="32" t="s">
        <v>46</v>
      </c>
      <c r="I21" s="32" t="s">
        <v>21</v>
      </c>
      <c r="J21" s="32"/>
      <c r="K21" s="34" t="s">
        <v>10</v>
      </c>
      <c r="L21" s="32"/>
      <c r="M21" s="32"/>
      <c r="N21" s="32" t="s">
        <v>22</v>
      </c>
      <c r="O21" s="32"/>
      <c r="P21" s="32"/>
      <c r="Q21" s="32"/>
      <c r="R21" s="32"/>
      <c r="S21" s="7" t="s">
        <v>71</v>
      </c>
      <c r="T21" s="6" t="s">
        <v>71</v>
      </c>
      <c r="U21" t="s">
        <v>45</v>
      </c>
      <c r="V21">
        <v>5</v>
      </c>
      <c r="W21" t="s">
        <v>48</v>
      </c>
      <c r="X21">
        <v>5</v>
      </c>
      <c r="Y21" s="8"/>
    </row>
    <row r="22" spans="1:30" x14ac:dyDescent="0.2">
      <c r="A22" s="65"/>
      <c r="B22" s="65"/>
      <c r="C22" s="65"/>
      <c r="D22" s="32"/>
      <c r="E22" s="33" t="s">
        <v>71</v>
      </c>
      <c r="F22" s="32" t="s">
        <v>71</v>
      </c>
      <c r="G22" s="32" t="s">
        <v>15</v>
      </c>
      <c r="H22" s="32" t="s">
        <v>46</v>
      </c>
      <c r="I22" s="32" t="s">
        <v>50</v>
      </c>
      <c r="J22" s="32"/>
      <c r="K22" s="34" t="s">
        <v>10</v>
      </c>
      <c r="L22" s="32"/>
      <c r="M22" s="32"/>
      <c r="N22" s="32" t="s">
        <v>23</v>
      </c>
      <c r="O22" s="32"/>
      <c r="P22" s="32"/>
      <c r="Q22" s="32"/>
      <c r="R22" s="32"/>
      <c r="S22" s="7" t="s">
        <v>71</v>
      </c>
      <c r="T22" s="6" t="s">
        <v>71</v>
      </c>
    </row>
    <row r="23" spans="1:30" x14ac:dyDescent="0.2">
      <c r="A23" s="65"/>
      <c r="B23" s="65"/>
      <c r="C23" s="65"/>
      <c r="D23" s="32"/>
      <c r="E23" s="33" t="s">
        <v>71</v>
      </c>
      <c r="F23" s="32" t="s">
        <v>71</v>
      </c>
      <c r="G23" s="32" t="s">
        <v>15</v>
      </c>
      <c r="H23" s="32" t="s">
        <v>46</v>
      </c>
      <c r="I23" s="32" t="s">
        <v>21</v>
      </c>
      <c r="J23" s="32"/>
      <c r="K23" s="34" t="s">
        <v>10</v>
      </c>
      <c r="L23" s="32"/>
      <c r="M23" s="32"/>
      <c r="N23" s="32" t="s">
        <v>22</v>
      </c>
      <c r="O23" s="32"/>
      <c r="P23" s="32"/>
      <c r="Q23" s="32"/>
      <c r="R23" s="32"/>
      <c r="S23" s="7" t="s">
        <v>71</v>
      </c>
      <c r="T23" s="6" t="s">
        <v>71</v>
      </c>
    </row>
    <row r="24" spans="1:30" x14ac:dyDescent="0.2">
      <c r="A24" s="65"/>
      <c r="B24" s="65"/>
      <c r="C24" s="65"/>
      <c r="D24" s="32"/>
      <c r="E24" s="33" t="s">
        <v>71</v>
      </c>
      <c r="F24" s="32" t="s">
        <v>71</v>
      </c>
      <c r="G24" s="32" t="s">
        <v>15</v>
      </c>
      <c r="H24" s="32" t="s">
        <v>46</v>
      </c>
      <c r="I24" s="32" t="s">
        <v>21</v>
      </c>
      <c r="J24" s="32"/>
      <c r="K24" s="34" t="s">
        <v>10</v>
      </c>
      <c r="L24" s="32"/>
      <c r="M24" s="32" t="s">
        <v>21</v>
      </c>
      <c r="N24" s="32" t="s">
        <v>22</v>
      </c>
      <c r="O24" s="32"/>
      <c r="P24" s="32"/>
      <c r="Q24" s="32"/>
      <c r="R24" s="32"/>
      <c r="S24" s="7" t="s">
        <v>71</v>
      </c>
      <c r="T24" s="6" t="s">
        <v>71</v>
      </c>
    </row>
    <row r="25" spans="1:30" x14ac:dyDescent="0.2">
      <c r="A25" s="65"/>
      <c r="B25" s="65"/>
      <c r="C25" s="65"/>
      <c r="D25" s="32"/>
      <c r="E25" s="33" t="s">
        <v>71</v>
      </c>
      <c r="F25" s="32" t="s">
        <v>71</v>
      </c>
      <c r="G25" s="32" t="s">
        <v>15</v>
      </c>
      <c r="H25" s="32" t="s">
        <v>46</v>
      </c>
      <c r="I25" s="32" t="s">
        <v>2</v>
      </c>
      <c r="J25" s="32"/>
      <c r="K25" s="34" t="s">
        <v>10</v>
      </c>
      <c r="L25" s="32"/>
      <c r="M25" s="32"/>
      <c r="N25" s="32" t="s">
        <v>23</v>
      </c>
      <c r="O25" s="32"/>
      <c r="P25" s="32"/>
      <c r="Q25" s="32"/>
      <c r="R25" s="32"/>
      <c r="S25" s="7" t="s">
        <v>71</v>
      </c>
      <c r="T25" s="6" t="s">
        <v>71</v>
      </c>
    </row>
    <row r="26" spans="1:30" x14ac:dyDescent="0.2">
      <c r="A26" s="65"/>
      <c r="B26" s="65"/>
      <c r="C26" s="65"/>
      <c r="D26" s="32"/>
      <c r="E26" s="33" t="s">
        <v>71</v>
      </c>
      <c r="F26" s="32" t="s">
        <v>71</v>
      </c>
      <c r="G26" s="32" t="s">
        <v>15</v>
      </c>
      <c r="H26" s="32" t="s">
        <v>46</v>
      </c>
      <c r="I26" s="32" t="s">
        <v>21</v>
      </c>
      <c r="J26" s="32"/>
      <c r="K26" s="34" t="s">
        <v>10</v>
      </c>
      <c r="L26" s="32"/>
      <c r="M26" s="32"/>
      <c r="N26" s="32" t="s">
        <v>11</v>
      </c>
      <c r="O26" s="32"/>
      <c r="P26" s="32"/>
      <c r="Q26" s="32"/>
      <c r="R26" s="32"/>
      <c r="S26" s="7" t="s">
        <v>71</v>
      </c>
      <c r="T26" s="6" t="s">
        <v>71</v>
      </c>
    </row>
    <row r="27" spans="1:30" x14ac:dyDescent="0.2">
      <c r="A27" s="65"/>
      <c r="B27" s="65"/>
      <c r="C27" s="65"/>
      <c r="D27" s="32"/>
      <c r="E27" s="33" t="s">
        <v>71</v>
      </c>
      <c r="F27" s="32" t="s">
        <v>71</v>
      </c>
      <c r="G27" s="32" t="s">
        <v>15</v>
      </c>
      <c r="H27" s="32" t="s">
        <v>46</v>
      </c>
      <c r="I27" s="32" t="s">
        <v>21</v>
      </c>
      <c r="J27" s="32"/>
      <c r="K27" s="34" t="s">
        <v>10</v>
      </c>
      <c r="L27" s="32"/>
      <c r="M27" s="32"/>
      <c r="N27" s="32" t="s">
        <v>24</v>
      </c>
      <c r="O27" s="32"/>
      <c r="P27" s="32"/>
      <c r="Q27" s="32"/>
      <c r="R27" s="32"/>
      <c r="S27" s="7" t="s">
        <v>71</v>
      </c>
      <c r="T27" s="6" t="s">
        <v>71</v>
      </c>
    </row>
    <row r="28" spans="1:30" x14ac:dyDescent="0.2">
      <c r="A28" s="64"/>
      <c r="B28" s="64"/>
      <c r="C28" s="64"/>
      <c r="D28" s="64"/>
      <c r="E28" s="64"/>
      <c r="F28" s="64"/>
      <c r="G28" s="64"/>
      <c r="H28" s="64"/>
      <c r="I28" s="64"/>
      <c r="J28" s="64"/>
      <c r="K28" s="64"/>
      <c r="L28" s="64"/>
      <c r="M28" s="64"/>
      <c r="N28" s="64"/>
      <c r="O28" s="64"/>
      <c r="P28" s="64"/>
      <c r="Q28" s="64"/>
      <c r="R28" s="64"/>
      <c r="S28" s="1"/>
      <c r="T28" s="1"/>
    </row>
    <row r="29" spans="1:30" ht="19" x14ac:dyDescent="0.25">
      <c r="A29" s="39" t="s">
        <v>26</v>
      </c>
      <c r="B29" s="39" t="s">
        <v>27</v>
      </c>
      <c r="C29" s="39" t="s">
        <v>28</v>
      </c>
      <c r="D29" s="39" t="s">
        <v>13</v>
      </c>
      <c r="E29" s="39" t="s">
        <v>41</v>
      </c>
      <c r="F29" s="39" t="s">
        <v>42</v>
      </c>
      <c r="G29" s="39" t="s">
        <v>14</v>
      </c>
      <c r="H29" s="39" t="s">
        <v>3</v>
      </c>
      <c r="I29" s="39" t="s">
        <v>49</v>
      </c>
      <c r="J29" s="39" t="s">
        <v>18</v>
      </c>
      <c r="K29" s="39" t="s">
        <v>5</v>
      </c>
      <c r="L29" s="39" t="s">
        <v>6</v>
      </c>
      <c r="M29" s="39" t="s">
        <v>1</v>
      </c>
      <c r="N29" s="39" t="s">
        <v>7</v>
      </c>
      <c r="O29" s="39" t="s">
        <v>8</v>
      </c>
      <c r="P29" s="39" t="s">
        <v>25</v>
      </c>
      <c r="Q29" s="39" t="s">
        <v>9</v>
      </c>
      <c r="R29" s="39" t="s">
        <v>12</v>
      </c>
      <c r="S29" s="4" t="s">
        <v>41</v>
      </c>
      <c r="T29" s="4" t="s">
        <v>42</v>
      </c>
      <c r="U29" t="s">
        <v>53</v>
      </c>
      <c r="V29">
        <v>1</v>
      </c>
      <c r="W29" t="s">
        <v>47</v>
      </c>
      <c r="X29">
        <v>1</v>
      </c>
      <c r="Y29" s="2" t="s">
        <v>32</v>
      </c>
    </row>
    <row r="30" spans="1:30" ht="30" x14ac:dyDescent="0.2">
      <c r="A30" s="58" t="s">
        <v>19</v>
      </c>
      <c r="B30" s="58" t="s">
        <v>19</v>
      </c>
      <c r="C30" s="58" t="s">
        <v>19</v>
      </c>
      <c r="D30" s="40" t="s">
        <v>19</v>
      </c>
      <c r="E30" s="33" t="s">
        <v>44</v>
      </c>
      <c r="F30" s="32" t="s">
        <v>60</v>
      </c>
      <c r="G30" s="32" t="s">
        <v>15</v>
      </c>
      <c r="H30" s="32" t="s">
        <v>73</v>
      </c>
      <c r="I30" s="32" t="s">
        <v>21</v>
      </c>
      <c r="J30" s="40"/>
      <c r="K30" s="34" t="s">
        <v>10</v>
      </c>
      <c r="L30" s="40"/>
      <c r="M30" s="32" t="s">
        <v>40</v>
      </c>
      <c r="N30" s="32" t="s">
        <v>23</v>
      </c>
      <c r="O30" s="40"/>
      <c r="P30" s="40"/>
      <c r="Q30" s="40"/>
      <c r="R30" s="40"/>
      <c r="S30" s="7" t="s">
        <v>43</v>
      </c>
      <c r="T30" s="6" t="s">
        <v>52</v>
      </c>
      <c r="U30" t="s">
        <v>44</v>
      </c>
      <c r="V30">
        <v>2</v>
      </c>
      <c r="W30" t="s">
        <v>60</v>
      </c>
      <c r="X30">
        <v>2</v>
      </c>
      <c r="Y30" s="8" t="s">
        <v>19</v>
      </c>
    </row>
    <row r="31" spans="1:30" x14ac:dyDescent="0.2">
      <c r="A31" s="59"/>
      <c r="B31" s="59"/>
      <c r="C31" s="59"/>
      <c r="D31" s="41"/>
      <c r="E31" s="33" t="s">
        <v>71</v>
      </c>
      <c r="F31" s="32" t="s">
        <v>48</v>
      </c>
      <c r="G31" s="32" t="s">
        <v>16</v>
      </c>
      <c r="H31" s="32" t="s">
        <v>46</v>
      </c>
      <c r="I31" s="32" t="s">
        <v>21</v>
      </c>
      <c r="J31" s="41"/>
      <c r="K31" s="34" t="s">
        <v>10</v>
      </c>
      <c r="L31" s="41"/>
      <c r="M31" s="32"/>
      <c r="N31" s="32" t="s">
        <v>23</v>
      </c>
      <c r="O31" s="41"/>
      <c r="P31" s="41"/>
      <c r="Q31" s="41"/>
      <c r="R31" s="41"/>
      <c r="S31" s="7" t="s">
        <v>71</v>
      </c>
      <c r="T31" s="6" t="s">
        <v>71</v>
      </c>
      <c r="U31" t="s">
        <v>43</v>
      </c>
      <c r="V31">
        <v>3</v>
      </c>
      <c r="W31" t="s">
        <v>52</v>
      </c>
      <c r="X31">
        <v>3</v>
      </c>
      <c r="Y31" s="8"/>
    </row>
    <row r="32" spans="1:30" x14ac:dyDescent="0.2">
      <c r="A32" s="59"/>
      <c r="B32" s="59"/>
      <c r="C32" s="59"/>
      <c r="D32" s="41" t="s">
        <v>19</v>
      </c>
      <c r="E32" s="33" t="s">
        <v>71</v>
      </c>
      <c r="F32" s="32" t="s">
        <v>71</v>
      </c>
      <c r="G32" s="32" t="s">
        <v>15</v>
      </c>
      <c r="H32" s="32" t="s">
        <v>46</v>
      </c>
      <c r="I32" s="32" t="s">
        <v>21</v>
      </c>
      <c r="J32" s="41"/>
      <c r="K32" s="34" t="s">
        <v>10</v>
      </c>
      <c r="L32" s="41"/>
      <c r="M32" s="32"/>
      <c r="N32" s="32" t="s">
        <v>22</v>
      </c>
      <c r="O32" s="41"/>
      <c r="P32" s="41"/>
      <c r="Q32" s="41"/>
      <c r="R32" s="41"/>
      <c r="S32" s="7" t="s">
        <v>71</v>
      </c>
      <c r="T32" s="6" t="s">
        <v>71</v>
      </c>
      <c r="U32" t="s">
        <v>54</v>
      </c>
      <c r="V32">
        <v>4</v>
      </c>
      <c r="W32" t="s">
        <v>51</v>
      </c>
      <c r="X32">
        <v>4</v>
      </c>
      <c r="Y32" s="8"/>
      <c r="Z32" s="18" t="s">
        <v>70</v>
      </c>
      <c r="AA32" s="18"/>
      <c r="AB32" s="18"/>
      <c r="AC32" s="18" t="s">
        <v>69</v>
      </c>
      <c r="AD32" s="18"/>
    </row>
    <row r="33" spans="1:30" x14ac:dyDescent="0.2">
      <c r="A33" s="59"/>
      <c r="B33" s="59"/>
      <c r="C33" s="59"/>
      <c r="D33" s="41"/>
      <c r="E33" s="33" t="s">
        <v>71</v>
      </c>
      <c r="F33" s="32" t="s">
        <v>71</v>
      </c>
      <c r="G33" s="32" t="s">
        <v>15</v>
      </c>
      <c r="H33" s="32" t="s">
        <v>46</v>
      </c>
      <c r="I33" s="32" t="s">
        <v>21</v>
      </c>
      <c r="J33" s="41"/>
      <c r="K33" s="34" t="s">
        <v>10</v>
      </c>
      <c r="L33" s="41"/>
      <c r="M33" s="32"/>
      <c r="N33" s="32" t="s">
        <v>22</v>
      </c>
      <c r="O33" s="41"/>
      <c r="P33" s="41"/>
      <c r="Q33" s="41"/>
      <c r="R33" s="41"/>
      <c r="S33" s="7" t="s">
        <v>71</v>
      </c>
      <c r="T33" s="6" t="s">
        <v>71</v>
      </c>
      <c r="U33" t="s">
        <v>45</v>
      </c>
      <c r="V33">
        <v>5</v>
      </c>
      <c r="W33" t="s">
        <v>48</v>
      </c>
      <c r="X33">
        <v>5</v>
      </c>
      <c r="Y33" s="8"/>
      <c r="Z33" s="18" t="str">
        <f>E6</f>
        <v>Very High</v>
      </c>
      <c r="AA33" s="18" t="str">
        <f>F6</f>
        <v>Catastrophic</v>
      </c>
      <c r="AB33" s="18">
        <v>1</v>
      </c>
      <c r="AC33" s="18" t="str">
        <f>S6</f>
        <v>Medium</v>
      </c>
      <c r="AD33" s="18" t="str">
        <f>T6</f>
        <v>Moderate</v>
      </c>
    </row>
    <row r="34" spans="1:30" x14ac:dyDescent="0.2">
      <c r="A34" s="59"/>
      <c r="B34" s="59"/>
      <c r="C34" s="59"/>
      <c r="D34" s="41"/>
      <c r="E34" s="33" t="s">
        <v>71</v>
      </c>
      <c r="F34" s="32" t="s">
        <v>71</v>
      </c>
      <c r="G34" s="32" t="s">
        <v>15</v>
      </c>
      <c r="H34" s="32" t="s">
        <v>46</v>
      </c>
      <c r="I34" s="32" t="s">
        <v>21</v>
      </c>
      <c r="J34" s="41"/>
      <c r="K34" s="34" t="s">
        <v>10</v>
      </c>
      <c r="L34" s="41"/>
      <c r="M34" s="32"/>
      <c r="N34" s="32" t="s">
        <v>23</v>
      </c>
      <c r="O34" s="41"/>
      <c r="P34" s="41"/>
      <c r="Q34" s="41"/>
      <c r="R34" s="41"/>
      <c r="S34" s="7" t="s">
        <v>71</v>
      </c>
      <c r="T34" s="6" t="s">
        <v>71</v>
      </c>
      <c r="Z34" s="18" t="str">
        <f>E18</f>
        <v>Very High</v>
      </c>
      <c r="AA34" s="18" t="str">
        <f>F18</f>
        <v>Catastrophic</v>
      </c>
      <c r="AB34" s="18">
        <v>2</v>
      </c>
      <c r="AC34" s="18" t="str">
        <f>S18</f>
        <v>Probable</v>
      </c>
      <c r="AD34" s="18" t="str">
        <f>T18</f>
        <v>Significant</v>
      </c>
    </row>
    <row r="35" spans="1:30" x14ac:dyDescent="0.2">
      <c r="A35" s="59"/>
      <c r="B35" s="59"/>
      <c r="C35" s="59"/>
      <c r="D35" s="41"/>
      <c r="E35" s="33" t="s">
        <v>71</v>
      </c>
      <c r="F35" s="32" t="s">
        <v>71</v>
      </c>
      <c r="G35" s="32" t="s">
        <v>15</v>
      </c>
      <c r="H35" s="32" t="s">
        <v>46</v>
      </c>
      <c r="I35" s="32" t="s">
        <v>21</v>
      </c>
      <c r="J35" s="41"/>
      <c r="K35" s="34" t="s">
        <v>10</v>
      </c>
      <c r="L35" s="41"/>
      <c r="M35" s="32"/>
      <c r="N35" s="32" t="s">
        <v>22</v>
      </c>
      <c r="O35" s="41"/>
      <c r="P35" s="41"/>
      <c r="Q35" s="41"/>
      <c r="R35" s="41"/>
      <c r="S35" s="7" t="s">
        <v>71</v>
      </c>
      <c r="T35" s="6" t="s">
        <v>71</v>
      </c>
      <c r="Z35" s="18" t="str">
        <f>E30</f>
        <v>Low</v>
      </c>
      <c r="AA35" s="18" t="str">
        <f>F30</f>
        <v>Lower</v>
      </c>
      <c r="AB35" s="18">
        <v>3</v>
      </c>
      <c r="AC35" s="18" t="str">
        <f>S30</f>
        <v>Medium</v>
      </c>
      <c r="AD35" s="18" t="str">
        <f>T30</f>
        <v>Moderate</v>
      </c>
    </row>
    <row r="36" spans="1:30" x14ac:dyDescent="0.2">
      <c r="A36" s="59"/>
      <c r="B36" s="59"/>
      <c r="C36" s="59"/>
      <c r="D36" s="41"/>
      <c r="E36" s="33" t="s">
        <v>71</v>
      </c>
      <c r="F36" s="32" t="s">
        <v>71</v>
      </c>
      <c r="G36" s="32" t="s">
        <v>15</v>
      </c>
      <c r="H36" s="32" t="s">
        <v>46</v>
      </c>
      <c r="I36" s="32" t="s">
        <v>21</v>
      </c>
      <c r="J36" s="41"/>
      <c r="K36" s="34" t="s">
        <v>10</v>
      </c>
      <c r="L36" s="41"/>
      <c r="M36" s="32" t="s">
        <v>21</v>
      </c>
      <c r="N36" s="32" t="s">
        <v>22</v>
      </c>
      <c r="O36" s="41"/>
      <c r="P36" s="41"/>
      <c r="Q36" s="41"/>
      <c r="R36" s="41"/>
      <c r="S36" s="7" t="s">
        <v>71</v>
      </c>
      <c r="T36" s="6" t="s">
        <v>71</v>
      </c>
      <c r="Z36" s="18" t="str">
        <f>E42</f>
        <v>Medium</v>
      </c>
      <c r="AA36" s="18" t="str">
        <f>F42</f>
        <v>Significant</v>
      </c>
      <c r="AB36" s="18">
        <v>4</v>
      </c>
      <c r="AC36" s="18" t="str">
        <f>S42</f>
        <v>Low</v>
      </c>
      <c r="AD36" s="18" t="str">
        <f>T42</f>
        <v>Moderate</v>
      </c>
    </row>
    <row r="37" spans="1:30" x14ac:dyDescent="0.2">
      <c r="A37" s="59"/>
      <c r="B37" s="59"/>
      <c r="C37" s="59"/>
      <c r="D37" s="41"/>
      <c r="E37" s="33" t="s">
        <v>71</v>
      </c>
      <c r="F37" s="32" t="s">
        <v>71</v>
      </c>
      <c r="G37" s="32" t="s">
        <v>15</v>
      </c>
      <c r="H37" s="32" t="s">
        <v>46</v>
      </c>
      <c r="I37" s="32" t="s">
        <v>21</v>
      </c>
      <c r="J37" s="41"/>
      <c r="K37" s="34" t="s">
        <v>10</v>
      </c>
      <c r="L37" s="41"/>
      <c r="M37" s="32"/>
      <c r="N37" s="32" t="s">
        <v>23</v>
      </c>
      <c r="O37" s="41"/>
      <c r="P37" s="41"/>
      <c r="Q37" s="41"/>
      <c r="R37" s="41"/>
      <c r="S37" s="7" t="s">
        <v>71</v>
      </c>
      <c r="T37" s="6" t="s">
        <v>71</v>
      </c>
      <c r="Z37" s="18" t="str">
        <f>E54</f>
        <v>Probable</v>
      </c>
      <c r="AA37" s="18" t="str">
        <f>F54</f>
        <v>Significant</v>
      </c>
      <c r="AB37" s="18">
        <v>5</v>
      </c>
      <c r="AC37" s="18" t="str">
        <f>S54</f>
        <v>Medium</v>
      </c>
      <c r="AD37" s="18" t="str">
        <f>T54</f>
        <v>Moderate</v>
      </c>
    </row>
    <row r="38" spans="1:30" x14ac:dyDescent="0.2">
      <c r="A38" s="59"/>
      <c r="B38" s="59"/>
      <c r="C38" s="59"/>
      <c r="D38" s="41"/>
      <c r="E38" s="33" t="s">
        <v>71</v>
      </c>
      <c r="F38" s="32" t="s">
        <v>71</v>
      </c>
      <c r="G38" s="32" t="s">
        <v>15</v>
      </c>
      <c r="H38" s="32" t="s">
        <v>46</v>
      </c>
      <c r="I38" s="32" t="s">
        <v>21</v>
      </c>
      <c r="J38" s="41"/>
      <c r="K38" s="34" t="s">
        <v>10</v>
      </c>
      <c r="L38" s="41"/>
      <c r="M38" s="32"/>
      <c r="N38" s="32" t="s">
        <v>11</v>
      </c>
      <c r="O38" s="41"/>
      <c r="P38" s="41"/>
      <c r="Q38" s="41"/>
      <c r="R38" s="41"/>
      <c r="S38" s="7" t="s">
        <v>71</v>
      </c>
      <c r="T38" s="6" t="s">
        <v>71</v>
      </c>
      <c r="Z38" s="18" t="str">
        <f>S66</f>
        <v>Improbable</v>
      </c>
      <c r="AA38" s="18" t="str">
        <f>T66</f>
        <v>Lower</v>
      </c>
      <c r="AB38" s="18">
        <v>6</v>
      </c>
      <c r="AC38" s="18" t="str">
        <f>S66</f>
        <v>Improbable</v>
      </c>
      <c r="AD38" s="18" t="str">
        <f>T66</f>
        <v>Lower</v>
      </c>
    </row>
    <row r="39" spans="1:30" x14ac:dyDescent="0.2">
      <c r="A39" s="60"/>
      <c r="B39" s="60"/>
      <c r="C39" s="60"/>
      <c r="D39" s="41"/>
      <c r="E39" s="33" t="s">
        <v>71</v>
      </c>
      <c r="F39" s="32" t="s">
        <v>71</v>
      </c>
      <c r="G39" s="32" t="s">
        <v>15</v>
      </c>
      <c r="H39" s="32" t="s">
        <v>46</v>
      </c>
      <c r="I39" s="32" t="s">
        <v>21</v>
      </c>
      <c r="J39" s="41"/>
      <c r="K39" s="34" t="s">
        <v>10</v>
      </c>
      <c r="L39" s="41"/>
      <c r="M39" s="32"/>
      <c r="N39" s="32" t="s">
        <v>24</v>
      </c>
      <c r="O39" s="41"/>
      <c r="P39" s="41"/>
      <c r="Q39" s="41"/>
      <c r="R39" s="41"/>
      <c r="S39" s="7" t="s">
        <v>71</v>
      </c>
      <c r="T39" s="6" t="s">
        <v>71</v>
      </c>
      <c r="Z39" s="18" t="str">
        <f>E78</f>
        <v>Probable</v>
      </c>
      <c r="AA39" s="18" t="str">
        <f>F78</f>
        <v>Catastrophic</v>
      </c>
      <c r="AB39" s="18">
        <v>7</v>
      </c>
      <c r="AC39" s="18" t="str">
        <f>S78</f>
        <v>Medium</v>
      </c>
      <c r="AD39" s="18" t="str">
        <f t="shared" ref="AD39" si="0">T67</f>
        <v>N/A</v>
      </c>
    </row>
    <row r="40" spans="1:30" x14ac:dyDescent="0.2">
      <c r="A40" s="61"/>
      <c r="B40" s="61"/>
      <c r="C40" s="61"/>
      <c r="D40" s="61"/>
      <c r="E40" s="61"/>
      <c r="F40" s="61"/>
      <c r="G40" s="61"/>
      <c r="H40" s="61"/>
      <c r="I40" s="61"/>
      <c r="J40" s="61"/>
      <c r="K40" s="61"/>
      <c r="L40" s="61"/>
      <c r="M40" s="61"/>
      <c r="N40" s="61"/>
      <c r="O40" s="61"/>
      <c r="P40" s="61"/>
      <c r="Q40" s="61"/>
      <c r="R40" s="61"/>
      <c r="S40" s="1"/>
      <c r="T40" s="1"/>
      <c r="Z40" s="18" t="str">
        <f>E90</f>
        <v>Probable</v>
      </c>
      <c r="AA40" s="18" t="str">
        <f>F90</f>
        <v>Significant</v>
      </c>
      <c r="AB40" s="18">
        <v>8</v>
      </c>
      <c r="AC40" s="18" t="str">
        <f>S90</f>
        <v>Medium</v>
      </c>
      <c r="AD40" s="18" t="str">
        <f>T90</f>
        <v>Moderate</v>
      </c>
    </row>
    <row r="41" spans="1:30" ht="19" x14ac:dyDescent="0.25">
      <c r="A41" s="39" t="s">
        <v>26</v>
      </c>
      <c r="B41" s="39" t="s">
        <v>27</v>
      </c>
      <c r="C41" s="39" t="s">
        <v>28</v>
      </c>
      <c r="D41" s="39" t="s">
        <v>13</v>
      </c>
      <c r="E41" s="39" t="s">
        <v>41</v>
      </c>
      <c r="F41" s="39" t="s">
        <v>42</v>
      </c>
      <c r="G41" s="39" t="s">
        <v>14</v>
      </c>
      <c r="H41" s="39" t="s">
        <v>3</v>
      </c>
      <c r="I41" s="39" t="s">
        <v>49</v>
      </c>
      <c r="J41" s="39" t="s">
        <v>18</v>
      </c>
      <c r="K41" s="39" t="s">
        <v>5</v>
      </c>
      <c r="L41" s="39" t="s">
        <v>6</v>
      </c>
      <c r="M41" s="39" t="s">
        <v>1</v>
      </c>
      <c r="N41" s="39" t="s">
        <v>7</v>
      </c>
      <c r="O41" s="39" t="s">
        <v>8</v>
      </c>
      <c r="P41" s="39" t="s">
        <v>25</v>
      </c>
      <c r="Q41" s="39" t="s">
        <v>9</v>
      </c>
      <c r="R41" s="39" t="s">
        <v>12</v>
      </c>
      <c r="S41" s="4" t="s">
        <v>41</v>
      </c>
      <c r="T41" s="4" t="s">
        <v>42</v>
      </c>
      <c r="U41" t="s">
        <v>53</v>
      </c>
      <c r="V41">
        <v>1</v>
      </c>
      <c r="W41" t="s">
        <v>47</v>
      </c>
      <c r="X41">
        <v>1</v>
      </c>
      <c r="Y41" s="2" t="s">
        <v>32</v>
      </c>
      <c r="Z41" s="18" t="str">
        <f>E102</f>
        <v>Very High</v>
      </c>
      <c r="AA41" s="18" t="str">
        <f>F102</f>
        <v>Catastrophic</v>
      </c>
      <c r="AB41" s="18">
        <v>9</v>
      </c>
      <c r="AC41" s="18" t="str">
        <f>S102</f>
        <v>Low</v>
      </c>
      <c r="AD41" s="18" t="str">
        <f>T102</f>
        <v>Significant</v>
      </c>
    </row>
    <row r="42" spans="1:30" ht="30" x14ac:dyDescent="0.2">
      <c r="A42" s="58" t="s">
        <v>19</v>
      </c>
      <c r="B42" s="58" t="s">
        <v>19</v>
      </c>
      <c r="C42" s="58" t="s">
        <v>19</v>
      </c>
      <c r="D42" s="40" t="s">
        <v>19</v>
      </c>
      <c r="E42" s="33" t="s">
        <v>43</v>
      </c>
      <c r="F42" s="32" t="s">
        <v>51</v>
      </c>
      <c r="G42" s="32" t="s">
        <v>15</v>
      </c>
      <c r="H42" s="32" t="s">
        <v>46</v>
      </c>
      <c r="I42" s="32" t="s">
        <v>21</v>
      </c>
      <c r="J42" s="40"/>
      <c r="K42" s="34" t="s">
        <v>10</v>
      </c>
      <c r="L42" s="40"/>
      <c r="M42" s="32" t="s">
        <v>40</v>
      </c>
      <c r="N42" s="32" t="s">
        <v>23</v>
      </c>
      <c r="O42" s="40"/>
      <c r="P42" s="40"/>
      <c r="Q42" s="40"/>
      <c r="R42" s="40"/>
      <c r="S42" s="7" t="s">
        <v>44</v>
      </c>
      <c r="T42" s="6" t="s">
        <v>52</v>
      </c>
      <c r="U42" t="s">
        <v>44</v>
      </c>
      <c r="V42">
        <v>2</v>
      </c>
      <c r="W42" t="s">
        <v>60</v>
      </c>
      <c r="X42">
        <v>2</v>
      </c>
      <c r="Y42" s="8" t="s">
        <v>19</v>
      </c>
      <c r="Z42" s="18" t="str">
        <f>E114</f>
        <v>Probable</v>
      </c>
      <c r="AA42" s="18" t="str">
        <f>F114</f>
        <v>Catastrophic</v>
      </c>
      <c r="AB42" s="18">
        <v>10</v>
      </c>
      <c r="AC42" s="18" t="str">
        <f>S114</f>
        <v>Low</v>
      </c>
      <c r="AD42" s="18" t="str">
        <f>T114</f>
        <v>Moderate</v>
      </c>
    </row>
    <row r="43" spans="1:30" x14ac:dyDescent="0.2">
      <c r="A43" s="59"/>
      <c r="B43" s="59"/>
      <c r="C43" s="59"/>
      <c r="D43" s="41"/>
      <c r="E43" s="33" t="s">
        <v>71</v>
      </c>
      <c r="F43" s="32" t="s">
        <v>71</v>
      </c>
      <c r="G43" s="32" t="s">
        <v>16</v>
      </c>
      <c r="H43" s="32" t="s">
        <v>46</v>
      </c>
      <c r="I43" s="32" t="s">
        <v>21</v>
      </c>
      <c r="J43" s="41"/>
      <c r="K43" s="34" t="s">
        <v>10</v>
      </c>
      <c r="L43" s="41"/>
      <c r="M43" s="32"/>
      <c r="N43" s="32" t="s">
        <v>23</v>
      </c>
      <c r="O43" s="41"/>
      <c r="P43" s="41"/>
      <c r="Q43" s="41"/>
      <c r="R43" s="41"/>
      <c r="S43" s="7" t="s">
        <v>71</v>
      </c>
      <c r="T43" s="6" t="s">
        <v>71</v>
      </c>
      <c r="U43" t="s">
        <v>43</v>
      </c>
      <c r="V43">
        <v>3</v>
      </c>
      <c r="W43" t="s">
        <v>52</v>
      </c>
      <c r="X43">
        <v>3</v>
      </c>
      <c r="Y43" s="8"/>
    </row>
    <row r="44" spans="1:30" x14ac:dyDescent="0.2">
      <c r="A44" s="59"/>
      <c r="B44" s="59"/>
      <c r="C44" s="59"/>
      <c r="D44" s="41" t="s">
        <v>19</v>
      </c>
      <c r="E44" s="33" t="s">
        <v>71</v>
      </c>
      <c r="F44" s="32" t="s">
        <v>71</v>
      </c>
      <c r="G44" s="32" t="s">
        <v>16</v>
      </c>
      <c r="H44" s="32" t="s">
        <v>46</v>
      </c>
      <c r="I44" s="32" t="s">
        <v>21</v>
      </c>
      <c r="J44" s="41"/>
      <c r="K44" s="34" t="s">
        <v>10</v>
      </c>
      <c r="L44" s="41"/>
      <c r="M44" s="32"/>
      <c r="N44" s="32" t="s">
        <v>22</v>
      </c>
      <c r="O44" s="41"/>
      <c r="P44" s="41"/>
      <c r="Q44" s="41"/>
      <c r="R44" s="41"/>
      <c r="S44" s="7" t="s">
        <v>71</v>
      </c>
      <c r="T44" s="6" t="s">
        <v>71</v>
      </c>
      <c r="U44" t="s">
        <v>54</v>
      </c>
      <c r="V44">
        <v>4</v>
      </c>
      <c r="W44" t="s">
        <v>51</v>
      </c>
      <c r="X44">
        <v>4</v>
      </c>
      <c r="Y44" s="8"/>
    </row>
    <row r="45" spans="1:30" x14ac:dyDescent="0.2">
      <c r="A45" s="59"/>
      <c r="B45" s="59"/>
      <c r="C45" s="59"/>
      <c r="D45" s="41"/>
      <c r="E45" s="33" t="s">
        <v>71</v>
      </c>
      <c r="F45" s="32" t="s">
        <v>71</v>
      </c>
      <c r="G45" s="32" t="s">
        <v>15</v>
      </c>
      <c r="H45" s="32" t="s">
        <v>76</v>
      </c>
      <c r="I45" s="32" t="s">
        <v>21</v>
      </c>
      <c r="J45" s="41"/>
      <c r="K45" s="34" t="s">
        <v>10</v>
      </c>
      <c r="L45" s="41"/>
      <c r="M45" s="32"/>
      <c r="N45" s="32" t="s">
        <v>22</v>
      </c>
      <c r="O45" s="41"/>
      <c r="P45" s="41"/>
      <c r="Q45" s="41"/>
      <c r="R45" s="41"/>
      <c r="S45" s="7" t="s">
        <v>71</v>
      </c>
      <c r="T45" s="6" t="s">
        <v>71</v>
      </c>
      <c r="U45" t="s">
        <v>45</v>
      </c>
      <c r="V45">
        <v>5</v>
      </c>
      <c r="W45" t="s">
        <v>48</v>
      </c>
      <c r="X45">
        <v>5</v>
      </c>
      <c r="Y45" s="8"/>
    </row>
    <row r="46" spans="1:30" x14ac:dyDescent="0.2">
      <c r="A46" s="59"/>
      <c r="B46" s="59"/>
      <c r="C46" s="59"/>
      <c r="D46" s="41"/>
      <c r="E46" s="33" t="s">
        <v>71</v>
      </c>
      <c r="F46" s="32" t="s">
        <v>71</v>
      </c>
      <c r="G46" s="32" t="s">
        <v>15</v>
      </c>
      <c r="H46" s="32" t="s">
        <v>46</v>
      </c>
      <c r="I46" s="32" t="s">
        <v>21</v>
      </c>
      <c r="J46" s="41"/>
      <c r="K46" s="34" t="s">
        <v>10</v>
      </c>
      <c r="L46" s="41"/>
      <c r="M46" s="32"/>
      <c r="N46" s="32" t="s">
        <v>23</v>
      </c>
      <c r="O46" s="41"/>
      <c r="P46" s="41"/>
      <c r="Q46" s="41"/>
      <c r="R46" s="41"/>
      <c r="S46" s="7" t="s">
        <v>71</v>
      </c>
      <c r="T46" s="6" t="s">
        <v>71</v>
      </c>
    </row>
    <row r="47" spans="1:30" x14ac:dyDescent="0.2">
      <c r="A47" s="59"/>
      <c r="B47" s="59"/>
      <c r="C47" s="59"/>
      <c r="D47" s="41"/>
      <c r="E47" s="33" t="s">
        <v>71</v>
      </c>
      <c r="F47" s="32" t="s">
        <v>71</v>
      </c>
      <c r="G47" s="32" t="s">
        <v>15</v>
      </c>
      <c r="H47" s="32" t="s">
        <v>46</v>
      </c>
      <c r="I47" s="32" t="s">
        <v>21</v>
      </c>
      <c r="J47" s="41"/>
      <c r="K47" s="34" t="s">
        <v>10</v>
      </c>
      <c r="L47" s="41"/>
      <c r="M47" s="32"/>
      <c r="N47" s="32" t="s">
        <v>22</v>
      </c>
      <c r="O47" s="41"/>
      <c r="P47" s="41"/>
      <c r="Q47" s="41"/>
      <c r="R47" s="41"/>
      <c r="S47" s="7" t="s">
        <v>71</v>
      </c>
      <c r="T47" s="6" t="s">
        <v>71</v>
      </c>
    </row>
    <row r="48" spans="1:30" x14ac:dyDescent="0.2">
      <c r="A48" s="59"/>
      <c r="B48" s="59"/>
      <c r="C48" s="59"/>
      <c r="D48" s="41"/>
      <c r="E48" s="33" t="s">
        <v>71</v>
      </c>
      <c r="F48" s="32" t="s">
        <v>71</v>
      </c>
      <c r="G48" s="32" t="s">
        <v>15</v>
      </c>
      <c r="H48" s="32" t="s">
        <v>46</v>
      </c>
      <c r="I48" s="32" t="s">
        <v>21</v>
      </c>
      <c r="J48" s="41"/>
      <c r="K48" s="34" t="s">
        <v>10</v>
      </c>
      <c r="L48" s="41"/>
      <c r="M48" s="32" t="s">
        <v>21</v>
      </c>
      <c r="N48" s="32" t="s">
        <v>22</v>
      </c>
      <c r="O48" s="41"/>
      <c r="P48" s="41"/>
      <c r="Q48" s="41"/>
      <c r="R48" s="41"/>
      <c r="S48" s="7" t="s">
        <v>71</v>
      </c>
      <c r="T48" s="6" t="s">
        <v>71</v>
      </c>
    </row>
    <row r="49" spans="1:25" x14ac:dyDescent="0.2">
      <c r="A49" s="59"/>
      <c r="B49" s="59"/>
      <c r="C49" s="59"/>
      <c r="D49" s="41"/>
      <c r="E49" s="33" t="s">
        <v>71</v>
      </c>
      <c r="F49" s="32" t="s">
        <v>71</v>
      </c>
      <c r="G49" s="32" t="s">
        <v>15</v>
      </c>
      <c r="H49" s="32" t="s">
        <v>46</v>
      </c>
      <c r="I49" s="32" t="s">
        <v>21</v>
      </c>
      <c r="J49" s="41"/>
      <c r="K49" s="34" t="s">
        <v>10</v>
      </c>
      <c r="L49" s="41"/>
      <c r="M49" s="32"/>
      <c r="N49" s="32" t="s">
        <v>23</v>
      </c>
      <c r="O49" s="41"/>
      <c r="P49" s="41"/>
      <c r="Q49" s="41"/>
      <c r="R49" s="41"/>
      <c r="S49" s="7" t="s">
        <v>71</v>
      </c>
      <c r="T49" s="6" t="s">
        <v>71</v>
      </c>
    </row>
    <row r="50" spans="1:25" x14ac:dyDescent="0.2">
      <c r="A50" s="59"/>
      <c r="B50" s="59"/>
      <c r="C50" s="59"/>
      <c r="D50" s="41"/>
      <c r="E50" s="33" t="s">
        <v>71</v>
      </c>
      <c r="F50" s="32" t="s">
        <v>71</v>
      </c>
      <c r="G50" s="32" t="s">
        <v>15</v>
      </c>
      <c r="H50" s="32" t="s">
        <v>46</v>
      </c>
      <c r="I50" s="32" t="s">
        <v>21</v>
      </c>
      <c r="J50" s="41"/>
      <c r="K50" s="34" t="s">
        <v>10</v>
      </c>
      <c r="L50" s="41"/>
      <c r="M50" s="32"/>
      <c r="N50" s="32" t="s">
        <v>11</v>
      </c>
      <c r="O50" s="41"/>
      <c r="P50" s="41"/>
      <c r="Q50" s="41"/>
      <c r="R50" s="41"/>
      <c r="S50" s="7" t="s">
        <v>71</v>
      </c>
      <c r="T50" s="6" t="s">
        <v>71</v>
      </c>
    </row>
    <row r="51" spans="1:25" x14ac:dyDescent="0.2">
      <c r="A51" s="60"/>
      <c r="B51" s="60"/>
      <c r="C51" s="60"/>
      <c r="D51" s="41"/>
      <c r="E51" s="33" t="s">
        <v>71</v>
      </c>
      <c r="F51" s="32" t="s">
        <v>71</v>
      </c>
      <c r="G51" s="32" t="s">
        <v>15</v>
      </c>
      <c r="H51" s="32" t="s">
        <v>46</v>
      </c>
      <c r="I51" s="32" t="s">
        <v>21</v>
      </c>
      <c r="J51" s="41"/>
      <c r="K51" s="34" t="s">
        <v>10</v>
      </c>
      <c r="L51" s="41"/>
      <c r="M51" s="32"/>
      <c r="N51" s="32" t="s">
        <v>24</v>
      </c>
      <c r="O51" s="41"/>
      <c r="P51" s="41"/>
      <c r="Q51" s="41"/>
      <c r="R51" s="41"/>
      <c r="S51" s="7" t="s">
        <v>71</v>
      </c>
      <c r="T51" s="6" t="s">
        <v>71</v>
      </c>
    </row>
    <row r="52" spans="1:25" x14ac:dyDescent="0.2">
      <c r="A52" s="61"/>
      <c r="B52" s="61"/>
      <c r="C52" s="61"/>
      <c r="D52" s="61"/>
      <c r="E52" s="61"/>
      <c r="F52" s="61"/>
      <c r="G52" s="61"/>
      <c r="H52" s="61"/>
      <c r="I52" s="61"/>
      <c r="J52" s="61"/>
      <c r="K52" s="61"/>
      <c r="L52" s="61"/>
      <c r="M52" s="61"/>
      <c r="N52" s="61"/>
      <c r="O52" s="61"/>
      <c r="P52" s="61"/>
      <c r="Q52" s="61"/>
      <c r="R52" s="61"/>
      <c r="S52" s="1"/>
      <c r="T52" s="1"/>
    </row>
    <row r="53" spans="1:25" ht="19" x14ac:dyDescent="0.25">
      <c r="A53" s="39" t="s">
        <v>26</v>
      </c>
      <c r="B53" s="39" t="s">
        <v>27</v>
      </c>
      <c r="C53" s="39" t="s">
        <v>28</v>
      </c>
      <c r="D53" s="39" t="s">
        <v>13</v>
      </c>
      <c r="E53" s="39" t="s">
        <v>41</v>
      </c>
      <c r="F53" s="39" t="s">
        <v>42</v>
      </c>
      <c r="G53" s="39" t="s">
        <v>14</v>
      </c>
      <c r="H53" s="39" t="s">
        <v>3</v>
      </c>
      <c r="I53" s="39" t="s">
        <v>49</v>
      </c>
      <c r="J53" s="39" t="s">
        <v>18</v>
      </c>
      <c r="K53" s="39" t="s">
        <v>5</v>
      </c>
      <c r="L53" s="39" t="s">
        <v>6</v>
      </c>
      <c r="M53" s="39" t="s">
        <v>1</v>
      </c>
      <c r="N53" s="39" t="s">
        <v>7</v>
      </c>
      <c r="O53" s="39" t="s">
        <v>8</v>
      </c>
      <c r="P53" s="39" t="s">
        <v>25</v>
      </c>
      <c r="Q53" s="39" t="s">
        <v>9</v>
      </c>
      <c r="R53" s="39" t="s">
        <v>12</v>
      </c>
      <c r="S53" s="4" t="s">
        <v>41</v>
      </c>
      <c r="T53" s="4" t="s">
        <v>42</v>
      </c>
      <c r="U53" t="s">
        <v>53</v>
      </c>
      <c r="V53">
        <v>1</v>
      </c>
      <c r="W53" t="s">
        <v>47</v>
      </c>
      <c r="X53">
        <v>1</v>
      </c>
      <c r="Y53" s="2" t="s">
        <v>32</v>
      </c>
    </row>
    <row r="54" spans="1:25" ht="30" x14ac:dyDescent="0.2">
      <c r="A54" s="58" t="s">
        <v>19</v>
      </c>
      <c r="B54" s="58" t="s">
        <v>19</v>
      </c>
      <c r="C54" s="58"/>
      <c r="D54" s="40" t="s">
        <v>19</v>
      </c>
      <c r="E54" s="33" t="s">
        <v>54</v>
      </c>
      <c r="F54" s="32" t="s">
        <v>51</v>
      </c>
      <c r="G54" s="32" t="s">
        <v>15</v>
      </c>
      <c r="H54" s="32" t="s">
        <v>72</v>
      </c>
      <c r="I54" s="32" t="s">
        <v>21</v>
      </c>
      <c r="J54" s="40"/>
      <c r="K54" s="34" t="s">
        <v>10</v>
      </c>
      <c r="L54" s="40"/>
      <c r="M54" s="32" t="s">
        <v>40</v>
      </c>
      <c r="N54" s="32" t="s">
        <v>23</v>
      </c>
      <c r="O54" s="40"/>
      <c r="P54" s="40"/>
      <c r="Q54" s="40"/>
      <c r="R54" s="40"/>
      <c r="S54" s="7" t="s">
        <v>43</v>
      </c>
      <c r="T54" s="6" t="s">
        <v>52</v>
      </c>
      <c r="U54" t="s">
        <v>44</v>
      </c>
      <c r="V54">
        <v>2</v>
      </c>
      <c r="W54" t="s">
        <v>60</v>
      </c>
      <c r="X54">
        <v>2</v>
      </c>
      <c r="Y54" s="8" t="s">
        <v>19</v>
      </c>
    </row>
    <row r="55" spans="1:25" x14ac:dyDescent="0.2">
      <c r="A55" s="59"/>
      <c r="B55" s="59"/>
      <c r="C55" s="59"/>
      <c r="D55" s="41"/>
      <c r="E55" s="33" t="s">
        <v>71</v>
      </c>
      <c r="F55" s="32" t="s">
        <v>71</v>
      </c>
      <c r="G55" s="32" t="s">
        <v>15</v>
      </c>
      <c r="H55" s="32" t="s">
        <v>74</v>
      </c>
      <c r="I55" s="32" t="s">
        <v>21</v>
      </c>
      <c r="J55" s="41"/>
      <c r="K55" s="34" t="s">
        <v>10</v>
      </c>
      <c r="L55" s="41"/>
      <c r="M55" s="32"/>
      <c r="N55" s="32" t="s">
        <v>23</v>
      </c>
      <c r="O55" s="41"/>
      <c r="P55" s="41"/>
      <c r="Q55" s="41"/>
      <c r="R55" s="41"/>
      <c r="S55" s="7" t="s">
        <v>71</v>
      </c>
      <c r="T55" s="6" t="s">
        <v>71</v>
      </c>
      <c r="U55" t="s">
        <v>43</v>
      </c>
      <c r="V55">
        <v>3</v>
      </c>
      <c r="W55" t="s">
        <v>52</v>
      </c>
      <c r="X55">
        <v>3</v>
      </c>
      <c r="Y55" s="8"/>
    </row>
    <row r="56" spans="1:25" x14ac:dyDescent="0.2">
      <c r="A56" s="59"/>
      <c r="B56" s="59"/>
      <c r="C56" s="59"/>
      <c r="D56" s="41" t="s">
        <v>19</v>
      </c>
      <c r="E56" s="33" t="s">
        <v>71</v>
      </c>
      <c r="F56" s="32" t="s">
        <v>71</v>
      </c>
      <c r="G56" s="32" t="s">
        <v>15</v>
      </c>
      <c r="H56" s="32" t="s">
        <v>75</v>
      </c>
      <c r="I56" s="32" t="s">
        <v>21</v>
      </c>
      <c r="J56" s="41"/>
      <c r="K56" s="34" t="s">
        <v>10</v>
      </c>
      <c r="L56" s="41"/>
      <c r="M56" s="32"/>
      <c r="N56" s="32" t="s">
        <v>22</v>
      </c>
      <c r="O56" s="41"/>
      <c r="P56" s="41"/>
      <c r="Q56" s="41"/>
      <c r="R56" s="41"/>
      <c r="S56" s="7" t="s">
        <v>71</v>
      </c>
      <c r="T56" s="6" t="s">
        <v>71</v>
      </c>
      <c r="U56" t="s">
        <v>54</v>
      </c>
      <c r="V56">
        <v>4</v>
      </c>
      <c r="W56" t="s">
        <v>51</v>
      </c>
      <c r="X56">
        <v>4</v>
      </c>
      <c r="Y56" s="8"/>
    </row>
    <row r="57" spans="1:25" x14ac:dyDescent="0.2">
      <c r="A57" s="59"/>
      <c r="B57" s="59"/>
      <c r="C57" s="59"/>
      <c r="D57" s="41"/>
      <c r="E57" s="33" t="s">
        <v>71</v>
      </c>
      <c r="F57" s="32" t="s">
        <v>71</v>
      </c>
      <c r="G57" s="32" t="s">
        <v>15</v>
      </c>
      <c r="H57" s="32" t="s">
        <v>38</v>
      </c>
      <c r="I57" s="32" t="s">
        <v>21</v>
      </c>
      <c r="J57" s="41"/>
      <c r="K57" s="34" t="s">
        <v>10</v>
      </c>
      <c r="L57" s="41"/>
      <c r="M57" s="32"/>
      <c r="N57" s="32" t="s">
        <v>22</v>
      </c>
      <c r="O57" s="41"/>
      <c r="P57" s="41"/>
      <c r="Q57" s="41"/>
      <c r="R57" s="41"/>
      <c r="S57" s="7" t="s">
        <v>71</v>
      </c>
      <c r="T57" s="6" t="s">
        <v>71</v>
      </c>
      <c r="U57" t="s">
        <v>45</v>
      </c>
      <c r="V57">
        <v>5</v>
      </c>
      <c r="W57" t="s">
        <v>48</v>
      </c>
      <c r="X57">
        <v>5</v>
      </c>
      <c r="Y57" s="8"/>
    </row>
    <row r="58" spans="1:25" x14ac:dyDescent="0.2">
      <c r="A58" s="59"/>
      <c r="B58" s="59"/>
      <c r="C58" s="59"/>
      <c r="D58" s="41"/>
      <c r="E58" s="33" t="s">
        <v>71</v>
      </c>
      <c r="F58" s="32" t="s">
        <v>71</v>
      </c>
      <c r="G58" s="32" t="s">
        <v>15</v>
      </c>
      <c r="H58" s="32" t="s">
        <v>17</v>
      </c>
      <c r="I58" s="32" t="s">
        <v>21</v>
      </c>
      <c r="J58" s="41"/>
      <c r="K58" s="34" t="s">
        <v>10</v>
      </c>
      <c r="L58" s="41"/>
      <c r="M58" s="32"/>
      <c r="N58" s="32" t="s">
        <v>23</v>
      </c>
      <c r="O58" s="41"/>
      <c r="P58" s="41"/>
      <c r="Q58" s="41"/>
      <c r="R58" s="41"/>
      <c r="S58" s="7" t="s">
        <v>71</v>
      </c>
      <c r="T58" s="6" t="s">
        <v>71</v>
      </c>
    </row>
    <row r="59" spans="1:25" x14ac:dyDescent="0.2">
      <c r="A59" s="59"/>
      <c r="B59" s="59"/>
      <c r="C59" s="59"/>
      <c r="D59" s="41"/>
      <c r="E59" s="33" t="s">
        <v>71</v>
      </c>
      <c r="F59" s="32" t="s">
        <v>71</v>
      </c>
      <c r="G59" s="32" t="s">
        <v>15</v>
      </c>
      <c r="H59" s="32" t="s">
        <v>46</v>
      </c>
      <c r="I59" s="32" t="s">
        <v>21</v>
      </c>
      <c r="J59" s="41"/>
      <c r="K59" s="34" t="s">
        <v>10</v>
      </c>
      <c r="L59" s="41"/>
      <c r="M59" s="32"/>
      <c r="N59" s="32" t="s">
        <v>22</v>
      </c>
      <c r="O59" s="41"/>
      <c r="P59" s="41"/>
      <c r="Q59" s="41"/>
      <c r="R59" s="41"/>
      <c r="S59" s="7" t="s">
        <v>71</v>
      </c>
      <c r="T59" s="6" t="s">
        <v>71</v>
      </c>
    </row>
    <row r="60" spans="1:25" x14ac:dyDescent="0.2">
      <c r="A60" s="59"/>
      <c r="B60" s="59"/>
      <c r="C60" s="59"/>
      <c r="D60" s="41"/>
      <c r="E60" s="33" t="s">
        <v>71</v>
      </c>
      <c r="F60" s="32" t="s">
        <v>71</v>
      </c>
      <c r="G60" s="32" t="s">
        <v>15</v>
      </c>
      <c r="H60" s="32" t="s">
        <v>39</v>
      </c>
      <c r="I60" s="32" t="s">
        <v>21</v>
      </c>
      <c r="J60" s="41"/>
      <c r="K60" s="34" t="s">
        <v>10</v>
      </c>
      <c r="L60" s="41"/>
      <c r="M60" s="32" t="s">
        <v>21</v>
      </c>
      <c r="N60" s="32" t="s">
        <v>22</v>
      </c>
      <c r="O60" s="41"/>
      <c r="P60" s="41"/>
      <c r="Q60" s="41"/>
      <c r="R60" s="41"/>
      <c r="S60" s="7" t="s">
        <v>71</v>
      </c>
      <c r="T60" s="6" t="s">
        <v>71</v>
      </c>
    </row>
    <row r="61" spans="1:25" x14ac:dyDescent="0.2">
      <c r="A61" s="59"/>
      <c r="B61" s="59"/>
      <c r="C61" s="59"/>
      <c r="D61" s="41"/>
      <c r="E61" s="33" t="s">
        <v>71</v>
      </c>
      <c r="F61" s="32" t="s">
        <v>71</v>
      </c>
      <c r="G61" s="32" t="s">
        <v>15</v>
      </c>
      <c r="H61" s="32" t="s">
        <v>46</v>
      </c>
      <c r="I61" s="32" t="s">
        <v>21</v>
      </c>
      <c r="J61" s="41"/>
      <c r="K61" s="34" t="s">
        <v>10</v>
      </c>
      <c r="L61" s="41"/>
      <c r="M61" s="32"/>
      <c r="N61" s="32" t="s">
        <v>23</v>
      </c>
      <c r="O61" s="41"/>
      <c r="P61" s="41"/>
      <c r="Q61" s="41"/>
      <c r="R61" s="41"/>
      <c r="S61" s="7" t="s">
        <v>71</v>
      </c>
      <c r="T61" s="6" t="s">
        <v>71</v>
      </c>
    </row>
    <row r="62" spans="1:25" x14ac:dyDescent="0.2">
      <c r="A62" s="59"/>
      <c r="B62" s="59"/>
      <c r="C62" s="59"/>
      <c r="D62" s="41"/>
      <c r="E62" s="33" t="s">
        <v>71</v>
      </c>
      <c r="F62" s="32" t="s">
        <v>71</v>
      </c>
      <c r="G62" s="32" t="s">
        <v>15</v>
      </c>
      <c r="H62" s="32" t="s">
        <v>4</v>
      </c>
      <c r="I62" s="32" t="s">
        <v>21</v>
      </c>
      <c r="J62" s="41"/>
      <c r="K62" s="34" t="s">
        <v>10</v>
      </c>
      <c r="L62" s="41"/>
      <c r="M62" s="32"/>
      <c r="N62" s="32" t="s">
        <v>11</v>
      </c>
      <c r="O62" s="41"/>
      <c r="P62" s="41"/>
      <c r="Q62" s="41"/>
      <c r="R62" s="41"/>
      <c r="S62" s="7" t="s">
        <v>71</v>
      </c>
      <c r="T62" s="6" t="s">
        <v>71</v>
      </c>
    </row>
    <row r="63" spans="1:25" x14ac:dyDescent="0.2">
      <c r="A63" s="60"/>
      <c r="B63" s="60"/>
      <c r="C63" s="60"/>
      <c r="D63" s="41"/>
      <c r="E63" s="33" t="s">
        <v>71</v>
      </c>
      <c r="F63" s="32" t="s">
        <v>71</v>
      </c>
      <c r="G63" s="32" t="s">
        <v>15</v>
      </c>
      <c r="H63" s="32" t="s">
        <v>46</v>
      </c>
      <c r="I63" s="32" t="s">
        <v>21</v>
      </c>
      <c r="J63" s="41"/>
      <c r="K63" s="34" t="s">
        <v>10</v>
      </c>
      <c r="L63" s="41"/>
      <c r="M63" s="32"/>
      <c r="N63" s="32" t="s">
        <v>24</v>
      </c>
      <c r="O63" s="41"/>
      <c r="P63" s="41"/>
      <c r="Q63" s="41"/>
      <c r="R63" s="41"/>
      <c r="S63" s="7" t="s">
        <v>71</v>
      </c>
      <c r="T63" s="6" t="s">
        <v>71</v>
      </c>
    </row>
    <row r="64" spans="1:25" x14ac:dyDescent="0.2">
      <c r="A64" s="61"/>
      <c r="B64" s="61"/>
      <c r="C64" s="61"/>
      <c r="D64" s="61"/>
      <c r="E64" s="61"/>
      <c r="F64" s="61"/>
      <c r="G64" s="61"/>
      <c r="H64" s="61"/>
      <c r="I64" s="61"/>
      <c r="J64" s="61"/>
      <c r="K64" s="61"/>
      <c r="L64" s="61"/>
      <c r="M64" s="61"/>
      <c r="N64" s="61"/>
      <c r="O64" s="61"/>
      <c r="P64" s="61"/>
      <c r="Q64" s="61"/>
      <c r="R64" s="61"/>
      <c r="S64" s="1"/>
      <c r="T64" s="1"/>
    </row>
    <row r="65" spans="1:25" ht="19" x14ac:dyDescent="0.25">
      <c r="A65" s="39" t="s">
        <v>26</v>
      </c>
      <c r="B65" s="39" t="s">
        <v>27</v>
      </c>
      <c r="C65" s="39" t="s">
        <v>28</v>
      </c>
      <c r="D65" s="39" t="s">
        <v>13</v>
      </c>
      <c r="E65" s="39" t="s">
        <v>41</v>
      </c>
      <c r="F65" s="39" t="s">
        <v>42</v>
      </c>
      <c r="G65" s="39" t="s">
        <v>14</v>
      </c>
      <c r="H65" s="39" t="s">
        <v>3</v>
      </c>
      <c r="I65" s="39" t="s">
        <v>49</v>
      </c>
      <c r="J65" s="39" t="s">
        <v>18</v>
      </c>
      <c r="K65" s="39" t="s">
        <v>5</v>
      </c>
      <c r="L65" s="39" t="s">
        <v>6</v>
      </c>
      <c r="M65" s="39" t="s">
        <v>1</v>
      </c>
      <c r="N65" s="39" t="s">
        <v>7</v>
      </c>
      <c r="O65" s="39" t="s">
        <v>8</v>
      </c>
      <c r="P65" s="39" t="s">
        <v>25</v>
      </c>
      <c r="Q65" s="39" t="s">
        <v>9</v>
      </c>
      <c r="R65" s="39" t="s">
        <v>12</v>
      </c>
      <c r="S65" s="4" t="s">
        <v>41</v>
      </c>
      <c r="T65" s="4" t="s">
        <v>42</v>
      </c>
      <c r="U65" t="s">
        <v>53</v>
      </c>
      <c r="V65">
        <v>1</v>
      </c>
      <c r="W65" t="s">
        <v>47</v>
      </c>
      <c r="X65">
        <v>1</v>
      </c>
      <c r="Y65" s="2" t="s">
        <v>32</v>
      </c>
    </row>
    <row r="66" spans="1:25" ht="30" x14ac:dyDescent="0.2">
      <c r="A66" s="58" t="s">
        <v>19</v>
      </c>
      <c r="B66" s="58" t="s">
        <v>19</v>
      </c>
      <c r="C66" s="58" t="s">
        <v>19</v>
      </c>
      <c r="D66" s="40" t="s">
        <v>19</v>
      </c>
      <c r="E66" s="33" t="s">
        <v>54</v>
      </c>
      <c r="F66" s="32" t="s">
        <v>51</v>
      </c>
      <c r="G66" s="32" t="s">
        <v>15</v>
      </c>
      <c r="H66" s="32" t="s">
        <v>17</v>
      </c>
      <c r="I66" s="32" t="s">
        <v>21</v>
      </c>
      <c r="J66" s="40"/>
      <c r="K66" s="34" t="s">
        <v>10</v>
      </c>
      <c r="L66" s="40"/>
      <c r="M66" s="32" t="s">
        <v>40</v>
      </c>
      <c r="N66" s="32" t="s">
        <v>23</v>
      </c>
      <c r="O66" s="40"/>
      <c r="P66" s="40"/>
      <c r="Q66" s="40"/>
      <c r="R66" s="40"/>
      <c r="S66" s="7" t="s">
        <v>53</v>
      </c>
      <c r="T66" s="6" t="s">
        <v>60</v>
      </c>
      <c r="U66" t="s">
        <v>44</v>
      </c>
      <c r="V66">
        <v>2</v>
      </c>
      <c r="W66" t="s">
        <v>60</v>
      </c>
      <c r="X66">
        <v>2</v>
      </c>
      <c r="Y66" s="8" t="s">
        <v>19</v>
      </c>
    </row>
    <row r="67" spans="1:25" x14ac:dyDescent="0.2">
      <c r="A67" s="59"/>
      <c r="B67" s="59"/>
      <c r="C67" s="59"/>
      <c r="D67" s="41"/>
      <c r="E67" s="33" t="s">
        <v>71</v>
      </c>
      <c r="F67" s="32" t="s">
        <v>71</v>
      </c>
      <c r="G67" s="32" t="s">
        <v>15</v>
      </c>
      <c r="H67" s="32" t="s">
        <v>46</v>
      </c>
      <c r="I67" s="32" t="s">
        <v>21</v>
      </c>
      <c r="J67" s="41"/>
      <c r="K67" s="34" t="s">
        <v>10</v>
      </c>
      <c r="L67" s="41"/>
      <c r="M67" s="32"/>
      <c r="N67" s="32" t="s">
        <v>23</v>
      </c>
      <c r="O67" s="41"/>
      <c r="P67" s="41"/>
      <c r="Q67" s="41"/>
      <c r="R67" s="41"/>
      <c r="S67" s="7" t="s">
        <v>71</v>
      </c>
      <c r="T67" s="6" t="s">
        <v>71</v>
      </c>
      <c r="U67" t="s">
        <v>43</v>
      </c>
      <c r="V67">
        <v>3</v>
      </c>
      <c r="W67" t="s">
        <v>52</v>
      </c>
      <c r="X67">
        <v>3</v>
      </c>
      <c r="Y67" s="8"/>
    </row>
    <row r="68" spans="1:25" x14ac:dyDescent="0.2">
      <c r="A68" s="59"/>
      <c r="B68" s="59"/>
      <c r="C68" s="59"/>
      <c r="D68" s="41" t="s">
        <v>19</v>
      </c>
      <c r="E68" s="33" t="s">
        <v>71</v>
      </c>
      <c r="F68" s="32" t="s">
        <v>71</v>
      </c>
      <c r="G68" s="32" t="s">
        <v>15</v>
      </c>
      <c r="H68" s="32" t="s">
        <v>46</v>
      </c>
      <c r="I68" s="32" t="s">
        <v>21</v>
      </c>
      <c r="J68" s="41"/>
      <c r="K68" s="34" t="s">
        <v>10</v>
      </c>
      <c r="L68" s="41"/>
      <c r="M68" s="32"/>
      <c r="N68" s="32" t="s">
        <v>22</v>
      </c>
      <c r="O68" s="41"/>
      <c r="P68" s="41"/>
      <c r="Q68" s="41"/>
      <c r="R68" s="41"/>
      <c r="S68" s="7" t="s">
        <v>71</v>
      </c>
      <c r="T68" s="6" t="s">
        <v>71</v>
      </c>
      <c r="U68" t="s">
        <v>54</v>
      </c>
      <c r="V68">
        <v>4</v>
      </c>
      <c r="W68" t="s">
        <v>51</v>
      </c>
      <c r="X68">
        <v>4</v>
      </c>
      <c r="Y68" s="8"/>
    </row>
    <row r="69" spans="1:25" x14ac:dyDescent="0.2">
      <c r="A69" s="59"/>
      <c r="B69" s="59"/>
      <c r="C69" s="59"/>
      <c r="D69" s="41"/>
      <c r="E69" s="33" t="s">
        <v>71</v>
      </c>
      <c r="F69" s="32" t="s">
        <v>71</v>
      </c>
      <c r="G69" s="32" t="s">
        <v>15</v>
      </c>
      <c r="H69" s="32" t="s">
        <v>46</v>
      </c>
      <c r="I69" s="32" t="s">
        <v>21</v>
      </c>
      <c r="J69" s="41"/>
      <c r="K69" s="34" t="s">
        <v>10</v>
      </c>
      <c r="L69" s="41"/>
      <c r="M69" s="32"/>
      <c r="N69" s="32" t="s">
        <v>22</v>
      </c>
      <c r="O69" s="41"/>
      <c r="P69" s="41"/>
      <c r="Q69" s="41"/>
      <c r="R69" s="41"/>
      <c r="S69" s="7" t="s">
        <v>71</v>
      </c>
      <c r="T69" s="6" t="s">
        <v>71</v>
      </c>
      <c r="U69" t="s">
        <v>45</v>
      </c>
      <c r="V69">
        <v>5</v>
      </c>
      <c r="W69" t="s">
        <v>48</v>
      </c>
      <c r="X69">
        <v>5</v>
      </c>
      <c r="Y69" s="8"/>
    </row>
    <row r="70" spans="1:25" x14ac:dyDescent="0.2">
      <c r="A70" s="59"/>
      <c r="B70" s="59"/>
      <c r="C70" s="59"/>
      <c r="D70" s="41"/>
      <c r="E70" s="33" t="s">
        <v>71</v>
      </c>
      <c r="F70" s="32" t="s">
        <v>71</v>
      </c>
      <c r="G70" s="32" t="s">
        <v>15</v>
      </c>
      <c r="H70" s="32" t="s">
        <v>38</v>
      </c>
      <c r="I70" s="32" t="s">
        <v>21</v>
      </c>
      <c r="J70" s="41"/>
      <c r="K70" s="34" t="s">
        <v>10</v>
      </c>
      <c r="L70" s="41"/>
      <c r="M70" s="32"/>
      <c r="N70" s="32" t="s">
        <v>23</v>
      </c>
      <c r="O70" s="41"/>
      <c r="P70" s="41"/>
      <c r="Q70" s="41"/>
      <c r="R70" s="41"/>
      <c r="S70" s="7" t="s">
        <v>71</v>
      </c>
      <c r="T70" s="6" t="s">
        <v>71</v>
      </c>
    </row>
    <row r="71" spans="1:25" x14ac:dyDescent="0.2">
      <c r="A71" s="59"/>
      <c r="B71" s="59"/>
      <c r="C71" s="59"/>
      <c r="D71" s="41"/>
      <c r="E71" s="33" t="s">
        <v>71</v>
      </c>
      <c r="F71" s="32" t="s">
        <v>71</v>
      </c>
      <c r="G71" s="32" t="s">
        <v>15</v>
      </c>
      <c r="H71" s="32" t="s">
        <v>46</v>
      </c>
      <c r="I71" s="32" t="s">
        <v>21</v>
      </c>
      <c r="J71" s="41"/>
      <c r="K71" s="34" t="s">
        <v>10</v>
      </c>
      <c r="L71" s="41"/>
      <c r="M71" s="32"/>
      <c r="N71" s="32" t="s">
        <v>22</v>
      </c>
      <c r="O71" s="41"/>
      <c r="P71" s="41"/>
      <c r="Q71" s="41"/>
      <c r="R71" s="41"/>
      <c r="S71" s="7" t="s">
        <v>71</v>
      </c>
      <c r="T71" s="6" t="s">
        <v>71</v>
      </c>
    </row>
    <row r="72" spans="1:25" x14ac:dyDescent="0.2">
      <c r="A72" s="59"/>
      <c r="B72" s="59"/>
      <c r="C72" s="59"/>
      <c r="D72" s="41"/>
      <c r="E72" s="33" t="s">
        <v>71</v>
      </c>
      <c r="F72" s="32" t="s">
        <v>71</v>
      </c>
      <c r="G72" s="32" t="s">
        <v>15</v>
      </c>
      <c r="H72" s="32" t="s">
        <v>46</v>
      </c>
      <c r="I72" s="32" t="s">
        <v>21</v>
      </c>
      <c r="J72" s="41"/>
      <c r="K72" s="34" t="s">
        <v>10</v>
      </c>
      <c r="L72" s="41"/>
      <c r="M72" s="32" t="s">
        <v>21</v>
      </c>
      <c r="N72" s="32" t="s">
        <v>22</v>
      </c>
      <c r="O72" s="41"/>
      <c r="P72" s="41"/>
      <c r="Q72" s="41"/>
      <c r="R72" s="41"/>
      <c r="S72" s="7" t="s">
        <v>71</v>
      </c>
      <c r="T72" s="6" t="s">
        <v>71</v>
      </c>
    </row>
    <row r="73" spans="1:25" x14ac:dyDescent="0.2">
      <c r="A73" s="59"/>
      <c r="B73" s="59"/>
      <c r="C73" s="59"/>
      <c r="D73" s="41"/>
      <c r="E73" s="33" t="s">
        <v>71</v>
      </c>
      <c r="F73" s="32" t="s">
        <v>71</v>
      </c>
      <c r="G73" s="32" t="s">
        <v>15</v>
      </c>
      <c r="H73" s="32" t="s">
        <v>46</v>
      </c>
      <c r="I73" s="32" t="s">
        <v>21</v>
      </c>
      <c r="J73" s="41"/>
      <c r="K73" s="34" t="s">
        <v>10</v>
      </c>
      <c r="L73" s="41"/>
      <c r="M73" s="32"/>
      <c r="N73" s="32" t="s">
        <v>23</v>
      </c>
      <c r="O73" s="41"/>
      <c r="P73" s="41"/>
      <c r="Q73" s="41"/>
      <c r="R73" s="41"/>
      <c r="S73" s="7" t="s">
        <v>71</v>
      </c>
      <c r="T73" s="6" t="s">
        <v>71</v>
      </c>
    </row>
    <row r="74" spans="1:25" x14ac:dyDescent="0.2">
      <c r="A74" s="59"/>
      <c r="B74" s="59"/>
      <c r="C74" s="59"/>
      <c r="D74" s="41"/>
      <c r="E74" s="33" t="s">
        <v>71</v>
      </c>
      <c r="F74" s="32" t="s">
        <v>71</v>
      </c>
      <c r="G74" s="32" t="s">
        <v>15</v>
      </c>
      <c r="H74" s="32" t="s">
        <v>46</v>
      </c>
      <c r="I74" s="32" t="s">
        <v>21</v>
      </c>
      <c r="J74" s="41"/>
      <c r="K74" s="34" t="s">
        <v>10</v>
      </c>
      <c r="L74" s="41"/>
      <c r="M74" s="32"/>
      <c r="N74" s="32" t="s">
        <v>11</v>
      </c>
      <c r="O74" s="41"/>
      <c r="P74" s="41"/>
      <c r="Q74" s="41"/>
      <c r="R74" s="41"/>
      <c r="S74" s="7" t="s">
        <v>71</v>
      </c>
      <c r="T74" s="6" t="s">
        <v>71</v>
      </c>
    </row>
    <row r="75" spans="1:25" x14ac:dyDescent="0.2">
      <c r="A75" s="60"/>
      <c r="B75" s="60"/>
      <c r="C75" s="60"/>
      <c r="D75" s="41"/>
      <c r="E75" s="33" t="s">
        <v>71</v>
      </c>
      <c r="F75" s="32" t="s">
        <v>71</v>
      </c>
      <c r="G75" s="32" t="s">
        <v>15</v>
      </c>
      <c r="H75" s="32" t="s">
        <v>46</v>
      </c>
      <c r="I75" s="32" t="s">
        <v>21</v>
      </c>
      <c r="J75" s="41"/>
      <c r="K75" s="34" t="s">
        <v>10</v>
      </c>
      <c r="L75" s="41"/>
      <c r="M75" s="32"/>
      <c r="N75" s="32" t="s">
        <v>24</v>
      </c>
      <c r="O75" s="41"/>
      <c r="P75" s="41"/>
      <c r="Q75" s="41"/>
      <c r="R75" s="41"/>
      <c r="S75" s="7" t="s">
        <v>71</v>
      </c>
      <c r="T75" s="6" t="s">
        <v>71</v>
      </c>
    </row>
    <row r="76" spans="1:25" x14ac:dyDescent="0.2">
      <c r="A76" s="61"/>
      <c r="B76" s="61"/>
      <c r="C76" s="61"/>
      <c r="D76" s="61"/>
      <c r="E76" s="61"/>
      <c r="F76" s="61"/>
      <c r="G76" s="61"/>
      <c r="H76" s="61"/>
      <c r="I76" s="61"/>
      <c r="J76" s="61"/>
      <c r="K76" s="61"/>
      <c r="L76" s="61"/>
      <c r="M76" s="61"/>
      <c r="N76" s="61"/>
      <c r="O76" s="61"/>
      <c r="P76" s="61"/>
      <c r="Q76" s="61"/>
      <c r="R76" s="61"/>
      <c r="S76" s="1"/>
      <c r="T76" s="1"/>
    </row>
    <row r="77" spans="1:25" ht="19" x14ac:dyDescent="0.25">
      <c r="A77" s="39" t="s">
        <v>26</v>
      </c>
      <c r="B77" s="39" t="s">
        <v>27</v>
      </c>
      <c r="C77" s="39" t="s">
        <v>28</v>
      </c>
      <c r="D77" s="39" t="s">
        <v>13</v>
      </c>
      <c r="E77" s="39" t="s">
        <v>41</v>
      </c>
      <c r="F77" s="39" t="s">
        <v>42</v>
      </c>
      <c r="G77" s="39" t="s">
        <v>14</v>
      </c>
      <c r="H77" s="39" t="s">
        <v>3</v>
      </c>
      <c r="I77" s="39" t="s">
        <v>49</v>
      </c>
      <c r="J77" s="39" t="s">
        <v>18</v>
      </c>
      <c r="K77" s="39" t="s">
        <v>5</v>
      </c>
      <c r="L77" s="39" t="s">
        <v>6</v>
      </c>
      <c r="M77" s="39" t="s">
        <v>1</v>
      </c>
      <c r="N77" s="39" t="s">
        <v>7</v>
      </c>
      <c r="O77" s="39" t="s">
        <v>8</v>
      </c>
      <c r="P77" s="39" t="s">
        <v>25</v>
      </c>
      <c r="Q77" s="39" t="s">
        <v>9</v>
      </c>
      <c r="R77" s="39" t="s">
        <v>12</v>
      </c>
      <c r="S77" s="4" t="s">
        <v>41</v>
      </c>
      <c r="T77" s="4" t="s">
        <v>42</v>
      </c>
      <c r="U77" t="s">
        <v>53</v>
      </c>
      <c r="V77">
        <v>1</v>
      </c>
      <c r="W77" t="s">
        <v>47</v>
      </c>
      <c r="X77">
        <v>1</v>
      </c>
      <c r="Y77" s="2" t="s">
        <v>32</v>
      </c>
    </row>
    <row r="78" spans="1:25" ht="30" x14ac:dyDescent="0.2">
      <c r="A78" s="58" t="s">
        <v>19</v>
      </c>
      <c r="B78" s="58" t="s">
        <v>19</v>
      </c>
      <c r="C78" s="58" t="s">
        <v>19</v>
      </c>
      <c r="D78" s="40" t="s">
        <v>19</v>
      </c>
      <c r="E78" s="33" t="s">
        <v>54</v>
      </c>
      <c r="F78" s="32" t="s">
        <v>48</v>
      </c>
      <c r="G78" s="32" t="s">
        <v>15</v>
      </c>
      <c r="H78" s="32" t="s">
        <v>75</v>
      </c>
      <c r="I78" s="32" t="s">
        <v>21</v>
      </c>
      <c r="J78" s="40"/>
      <c r="K78" s="34" t="s">
        <v>10</v>
      </c>
      <c r="L78" s="40"/>
      <c r="M78" s="32" t="s">
        <v>40</v>
      </c>
      <c r="N78" s="32" t="s">
        <v>23</v>
      </c>
      <c r="O78" s="40"/>
      <c r="P78" s="40"/>
      <c r="Q78" s="40"/>
      <c r="R78" s="40"/>
      <c r="S78" s="7" t="s">
        <v>43</v>
      </c>
      <c r="T78" s="6" t="s">
        <v>52</v>
      </c>
      <c r="U78" t="s">
        <v>44</v>
      </c>
      <c r="V78">
        <v>2</v>
      </c>
      <c r="W78" t="s">
        <v>60</v>
      </c>
      <c r="X78">
        <v>2</v>
      </c>
      <c r="Y78" s="8" t="s">
        <v>19</v>
      </c>
    </row>
    <row r="79" spans="1:25" x14ac:dyDescent="0.2">
      <c r="A79" s="59"/>
      <c r="B79" s="59"/>
      <c r="C79" s="59"/>
      <c r="D79" s="41"/>
      <c r="E79" s="33" t="s">
        <v>71</v>
      </c>
      <c r="F79" s="32" t="s">
        <v>71</v>
      </c>
      <c r="G79" s="32" t="s">
        <v>15</v>
      </c>
      <c r="H79" s="32" t="s">
        <v>46</v>
      </c>
      <c r="I79" s="32" t="s">
        <v>21</v>
      </c>
      <c r="J79" s="41"/>
      <c r="K79" s="34" t="s">
        <v>10</v>
      </c>
      <c r="L79" s="41"/>
      <c r="M79" s="32"/>
      <c r="N79" s="32" t="s">
        <v>23</v>
      </c>
      <c r="O79" s="41"/>
      <c r="P79" s="41"/>
      <c r="Q79" s="41"/>
      <c r="R79" s="41"/>
      <c r="S79" s="7" t="s">
        <v>71</v>
      </c>
      <c r="T79" s="6" t="s">
        <v>71</v>
      </c>
      <c r="U79" t="s">
        <v>43</v>
      </c>
      <c r="V79">
        <v>3</v>
      </c>
      <c r="W79" t="s">
        <v>52</v>
      </c>
      <c r="X79">
        <v>3</v>
      </c>
      <c r="Y79" s="8"/>
    </row>
    <row r="80" spans="1:25" x14ac:dyDescent="0.2">
      <c r="A80" s="59"/>
      <c r="B80" s="59"/>
      <c r="C80" s="59"/>
      <c r="D80" s="41" t="s">
        <v>19</v>
      </c>
      <c r="E80" s="33" t="s">
        <v>71</v>
      </c>
      <c r="F80" s="32" t="s">
        <v>71</v>
      </c>
      <c r="G80" s="32" t="s">
        <v>15</v>
      </c>
      <c r="H80" s="32" t="s">
        <v>46</v>
      </c>
      <c r="I80" s="32" t="s">
        <v>21</v>
      </c>
      <c r="J80" s="41"/>
      <c r="K80" s="34" t="s">
        <v>10</v>
      </c>
      <c r="L80" s="41"/>
      <c r="M80" s="32"/>
      <c r="N80" s="32" t="s">
        <v>22</v>
      </c>
      <c r="O80" s="41"/>
      <c r="P80" s="41"/>
      <c r="Q80" s="41"/>
      <c r="R80" s="41"/>
      <c r="S80" s="7" t="s">
        <v>71</v>
      </c>
      <c r="T80" s="6" t="s">
        <v>71</v>
      </c>
      <c r="U80" t="s">
        <v>54</v>
      </c>
      <c r="V80">
        <v>4</v>
      </c>
      <c r="W80" t="s">
        <v>51</v>
      </c>
      <c r="X80">
        <v>4</v>
      </c>
      <c r="Y80" s="8"/>
    </row>
    <row r="81" spans="1:25" x14ac:dyDescent="0.2">
      <c r="A81" s="59"/>
      <c r="B81" s="59"/>
      <c r="C81" s="59"/>
      <c r="D81" s="41"/>
      <c r="E81" s="33" t="s">
        <v>71</v>
      </c>
      <c r="F81" s="32" t="s">
        <v>71</v>
      </c>
      <c r="G81" s="32" t="s">
        <v>15</v>
      </c>
      <c r="H81" s="32" t="s">
        <v>46</v>
      </c>
      <c r="I81" s="32" t="s">
        <v>21</v>
      </c>
      <c r="J81" s="41"/>
      <c r="K81" s="34" t="s">
        <v>10</v>
      </c>
      <c r="L81" s="41"/>
      <c r="M81" s="32"/>
      <c r="N81" s="32" t="s">
        <v>22</v>
      </c>
      <c r="O81" s="41"/>
      <c r="P81" s="41"/>
      <c r="Q81" s="41"/>
      <c r="R81" s="41"/>
      <c r="S81" s="7" t="s">
        <v>71</v>
      </c>
      <c r="T81" s="6" t="s">
        <v>71</v>
      </c>
      <c r="U81" t="s">
        <v>45</v>
      </c>
      <c r="V81">
        <v>5</v>
      </c>
      <c r="W81" t="s">
        <v>48</v>
      </c>
      <c r="X81">
        <v>5</v>
      </c>
      <c r="Y81" s="8"/>
    </row>
    <row r="82" spans="1:25" x14ac:dyDescent="0.2">
      <c r="A82" s="59"/>
      <c r="B82" s="59"/>
      <c r="C82" s="59"/>
      <c r="D82" s="41"/>
      <c r="E82" s="33" t="s">
        <v>71</v>
      </c>
      <c r="F82" s="32" t="s">
        <v>71</v>
      </c>
      <c r="G82" s="32" t="s">
        <v>15</v>
      </c>
      <c r="H82" s="32" t="s">
        <v>46</v>
      </c>
      <c r="I82" s="32" t="s">
        <v>21</v>
      </c>
      <c r="J82" s="41"/>
      <c r="K82" s="34" t="s">
        <v>10</v>
      </c>
      <c r="L82" s="41"/>
      <c r="M82" s="32"/>
      <c r="N82" s="32" t="s">
        <v>23</v>
      </c>
      <c r="O82" s="41"/>
      <c r="P82" s="41"/>
      <c r="Q82" s="41"/>
      <c r="R82" s="41"/>
      <c r="S82" s="7" t="s">
        <v>71</v>
      </c>
      <c r="T82" s="6" t="s">
        <v>71</v>
      </c>
    </row>
    <row r="83" spans="1:25" x14ac:dyDescent="0.2">
      <c r="A83" s="59"/>
      <c r="B83" s="59"/>
      <c r="C83" s="59"/>
      <c r="D83" s="41"/>
      <c r="E83" s="33" t="s">
        <v>71</v>
      </c>
      <c r="F83" s="32" t="s">
        <v>71</v>
      </c>
      <c r="G83" s="32" t="s">
        <v>15</v>
      </c>
      <c r="H83" s="32" t="s">
        <v>46</v>
      </c>
      <c r="I83" s="32" t="s">
        <v>21</v>
      </c>
      <c r="J83" s="41"/>
      <c r="K83" s="34" t="s">
        <v>10</v>
      </c>
      <c r="L83" s="41"/>
      <c r="M83" s="32"/>
      <c r="N83" s="32" t="s">
        <v>22</v>
      </c>
      <c r="O83" s="41"/>
      <c r="P83" s="41"/>
      <c r="Q83" s="41"/>
      <c r="R83" s="41"/>
      <c r="S83" s="7" t="s">
        <v>71</v>
      </c>
      <c r="T83" s="6" t="s">
        <v>71</v>
      </c>
    </row>
    <row r="84" spans="1:25" x14ac:dyDescent="0.2">
      <c r="A84" s="59"/>
      <c r="B84" s="59"/>
      <c r="C84" s="59"/>
      <c r="D84" s="41"/>
      <c r="E84" s="33" t="s">
        <v>71</v>
      </c>
      <c r="F84" s="32" t="s">
        <v>71</v>
      </c>
      <c r="G84" s="32" t="s">
        <v>15</v>
      </c>
      <c r="H84" s="32" t="s">
        <v>46</v>
      </c>
      <c r="I84" s="32" t="s">
        <v>21</v>
      </c>
      <c r="J84" s="41"/>
      <c r="K84" s="34" t="s">
        <v>10</v>
      </c>
      <c r="L84" s="41"/>
      <c r="M84" s="32" t="s">
        <v>21</v>
      </c>
      <c r="N84" s="32" t="s">
        <v>22</v>
      </c>
      <c r="O84" s="41"/>
      <c r="P84" s="41"/>
      <c r="Q84" s="41"/>
      <c r="R84" s="41"/>
      <c r="S84" s="7" t="s">
        <v>71</v>
      </c>
      <c r="T84" s="6" t="s">
        <v>71</v>
      </c>
    </row>
    <row r="85" spans="1:25" x14ac:dyDescent="0.2">
      <c r="A85" s="59"/>
      <c r="B85" s="59"/>
      <c r="C85" s="59"/>
      <c r="D85" s="41"/>
      <c r="E85" s="33" t="s">
        <v>71</v>
      </c>
      <c r="F85" s="32" t="s">
        <v>71</v>
      </c>
      <c r="G85" s="32" t="s">
        <v>15</v>
      </c>
      <c r="H85" s="32" t="s">
        <v>46</v>
      </c>
      <c r="I85" s="32" t="s">
        <v>21</v>
      </c>
      <c r="J85" s="41"/>
      <c r="K85" s="34" t="s">
        <v>10</v>
      </c>
      <c r="L85" s="41"/>
      <c r="M85" s="32"/>
      <c r="N85" s="32" t="s">
        <v>23</v>
      </c>
      <c r="O85" s="41"/>
      <c r="P85" s="41"/>
      <c r="Q85" s="41"/>
      <c r="R85" s="41"/>
      <c r="S85" s="7" t="s">
        <v>71</v>
      </c>
      <c r="T85" s="6" t="s">
        <v>71</v>
      </c>
    </row>
    <row r="86" spans="1:25" x14ac:dyDescent="0.2">
      <c r="A86" s="59"/>
      <c r="B86" s="59"/>
      <c r="C86" s="59"/>
      <c r="D86" s="41"/>
      <c r="E86" s="33" t="s">
        <v>71</v>
      </c>
      <c r="F86" s="32" t="s">
        <v>71</v>
      </c>
      <c r="G86" s="32" t="s">
        <v>15</v>
      </c>
      <c r="H86" s="32" t="s">
        <v>46</v>
      </c>
      <c r="I86" s="32" t="s">
        <v>21</v>
      </c>
      <c r="J86" s="41"/>
      <c r="K86" s="34" t="s">
        <v>10</v>
      </c>
      <c r="L86" s="41"/>
      <c r="M86" s="32"/>
      <c r="N86" s="32" t="s">
        <v>11</v>
      </c>
      <c r="O86" s="41"/>
      <c r="P86" s="41"/>
      <c r="Q86" s="41"/>
      <c r="R86" s="41"/>
      <c r="S86" s="7" t="s">
        <v>71</v>
      </c>
      <c r="T86" s="6" t="s">
        <v>71</v>
      </c>
    </row>
    <row r="87" spans="1:25" x14ac:dyDescent="0.2">
      <c r="A87" s="60"/>
      <c r="B87" s="60"/>
      <c r="C87" s="60"/>
      <c r="D87" s="41"/>
      <c r="E87" s="33" t="s">
        <v>71</v>
      </c>
      <c r="F87" s="32" t="s">
        <v>71</v>
      </c>
      <c r="G87" s="32" t="s">
        <v>15</v>
      </c>
      <c r="H87" s="32" t="s">
        <v>46</v>
      </c>
      <c r="I87" s="32" t="s">
        <v>21</v>
      </c>
      <c r="J87" s="41"/>
      <c r="K87" s="34" t="s">
        <v>10</v>
      </c>
      <c r="L87" s="41"/>
      <c r="M87" s="32"/>
      <c r="N87" s="32" t="s">
        <v>24</v>
      </c>
      <c r="O87" s="41"/>
      <c r="P87" s="41"/>
      <c r="Q87" s="41"/>
      <c r="R87" s="41"/>
      <c r="S87" s="7" t="s">
        <v>71</v>
      </c>
      <c r="T87" s="6" t="s">
        <v>71</v>
      </c>
    </row>
    <row r="88" spans="1:25" x14ac:dyDescent="0.2">
      <c r="A88" s="61"/>
      <c r="B88" s="61"/>
      <c r="C88" s="61"/>
      <c r="D88" s="61"/>
      <c r="E88" s="61"/>
      <c r="F88" s="61"/>
      <c r="G88" s="61"/>
      <c r="H88" s="61"/>
      <c r="I88" s="61"/>
      <c r="J88" s="61"/>
      <c r="K88" s="61"/>
      <c r="L88" s="61"/>
      <c r="M88" s="61"/>
      <c r="N88" s="61"/>
      <c r="O88" s="61"/>
      <c r="P88" s="61"/>
      <c r="Q88" s="61"/>
      <c r="R88" s="61"/>
      <c r="S88" s="1"/>
      <c r="T88" s="1"/>
    </row>
    <row r="89" spans="1:25" x14ac:dyDescent="0.2">
      <c r="A89" s="39" t="s">
        <v>26</v>
      </c>
      <c r="B89" s="39" t="s">
        <v>27</v>
      </c>
      <c r="C89" s="39" t="s">
        <v>28</v>
      </c>
      <c r="D89" s="39" t="s">
        <v>13</v>
      </c>
      <c r="E89" s="39" t="s">
        <v>41</v>
      </c>
      <c r="F89" s="39" t="s">
        <v>42</v>
      </c>
      <c r="G89" s="39" t="s">
        <v>14</v>
      </c>
      <c r="H89" s="39" t="s">
        <v>3</v>
      </c>
      <c r="I89" s="39" t="s">
        <v>49</v>
      </c>
      <c r="J89" s="39" t="s">
        <v>18</v>
      </c>
      <c r="K89" s="39" t="s">
        <v>5</v>
      </c>
      <c r="L89" s="39" t="s">
        <v>6</v>
      </c>
      <c r="M89" s="39" t="s">
        <v>1</v>
      </c>
      <c r="N89" s="39" t="s">
        <v>7</v>
      </c>
      <c r="O89" s="39" t="s">
        <v>8</v>
      </c>
      <c r="P89" s="39" t="s">
        <v>25</v>
      </c>
      <c r="Q89" s="39" t="s">
        <v>9</v>
      </c>
      <c r="R89" s="39" t="s">
        <v>12</v>
      </c>
      <c r="S89" s="4" t="s">
        <v>41</v>
      </c>
      <c r="T89" s="4" t="s">
        <v>42</v>
      </c>
    </row>
    <row r="90" spans="1:25" ht="30" x14ac:dyDescent="0.2">
      <c r="A90" s="58" t="s">
        <v>19</v>
      </c>
      <c r="B90" s="58" t="s">
        <v>19</v>
      </c>
      <c r="C90" s="58" t="s">
        <v>19</v>
      </c>
      <c r="D90" s="40" t="s">
        <v>19</v>
      </c>
      <c r="E90" s="33" t="s">
        <v>54</v>
      </c>
      <c r="F90" s="32" t="s">
        <v>51</v>
      </c>
      <c r="G90" s="32" t="s">
        <v>15</v>
      </c>
      <c r="H90" s="32" t="s">
        <v>38</v>
      </c>
      <c r="I90" s="32" t="s">
        <v>21</v>
      </c>
      <c r="J90" s="40"/>
      <c r="K90" s="34" t="s">
        <v>10</v>
      </c>
      <c r="L90" s="40"/>
      <c r="M90" s="32" t="s">
        <v>40</v>
      </c>
      <c r="N90" s="32" t="s">
        <v>23</v>
      </c>
      <c r="O90" s="40"/>
      <c r="P90" s="40"/>
      <c r="Q90" s="40"/>
      <c r="R90" s="40"/>
      <c r="S90" s="7" t="s">
        <v>43</v>
      </c>
      <c r="T90" s="6" t="s">
        <v>52</v>
      </c>
      <c r="Y90" t="s">
        <v>19</v>
      </c>
    </row>
    <row r="91" spans="1:25" x14ac:dyDescent="0.2">
      <c r="A91" s="59"/>
      <c r="B91" s="59"/>
      <c r="C91" s="59"/>
      <c r="D91" s="41"/>
      <c r="E91" s="33" t="s">
        <v>71</v>
      </c>
      <c r="F91" s="32" t="s">
        <v>71</v>
      </c>
      <c r="G91" s="32" t="s">
        <v>15</v>
      </c>
      <c r="H91" s="32" t="s">
        <v>46</v>
      </c>
      <c r="I91" s="32" t="s">
        <v>21</v>
      </c>
      <c r="J91" s="41"/>
      <c r="K91" s="34" t="s">
        <v>10</v>
      </c>
      <c r="L91" s="41"/>
      <c r="M91" s="32"/>
      <c r="N91" s="32" t="s">
        <v>23</v>
      </c>
      <c r="O91" s="41"/>
      <c r="P91" s="41"/>
      <c r="Q91" s="41"/>
      <c r="R91" s="41"/>
      <c r="S91" s="7" t="s">
        <v>71</v>
      </c>
      <c r="T91" s="6" t="s">
        <v>71</v>
      </c>
    </row>
    <row r="92" spans="1:25" x14ac:dyDescent="0.2">
      <c r="A92" s="59"/>
      <c r="B92" s="59"/>
      <c r="C92" s="59"/>
      <c r="D92" s="41" t="s">
        <v>19</v>
      </c>
      <c r="E92" s="33" t="s">
        <v>71</v>
      </c>
      <c r="F92" s="32" t="s">
        <v>71</v>
      </c>
      <c r="G92" s="32" t="s">
        <v>15</v>
      </c>
      <c r="H92" s="32" t="s">
        <v>46</v>
      </c>
      <c r="I92" s="32" t="s">
        <v>21</v>
      </c>
      <c r="J92" s="41"/>
      <c r="K92" s="34" t="s">
        <v>10</v>
      </c>
      <c r="L92" s="41"/>
      <c r="M92" s="32"/>
      <c r="N92" s="32" t="s">
        <v>22</v>
      </c>
      <c r="O92" s="41"/>
      <c r="P92" s="41"/>
      <c r="Q92" s="41"/>
      <c r="R92" s="41"/>
      <c r="S92" s="7" t="s">
        <v>71</v>
      </c>
      <c r="T92" s="6" t="s">
        <v>71</v>
      </c>
    </row>
    <row r="93" spans="1:25" x14ac:dyDescent="0.2">
      <c r="A93" s="59"/>
      <c r="B93" s="59"/>
      <c r="C93" s="59"/>
      <c r="D93" s="41"/>
      <c r="E93" s="33" t="s">
        <v>71</v>
      </c>
      <c r="F93" s="32" t="s">
        <v>71</v>
      </c>
      <c r="G93" s="32" t="s">
        <v>15</v>
      </c>
      <c r="H93" s="32" t="s">
        <v>46</v>
      </c>
      <c r="I93" s="32" t="s">
        <v>21</v>
      </c>
      <c r="J93" s="41"/>
      <c r="K93" s="34" t="s">
        <v>10</v>
      </c>
      <c r="L93" s="41"/>
      <c r="M93" s="32"/>
      <c r="N93" s="32" t="s">
        <v>22</v>
      </c>
      <c r="O93" s="41"/>
      <c r="P93" s="41"/>
      <c r="Q93" s="41"/>
      <c r="R93" s="41"/>
      <c r="S93" s="7" t="s">
        <v>71</v>
      </c>
      <c r="T93" s="6" t="s">
        <v>71</v>
      </c>
    </row>
    <row r="94" spans="1:25" x14ac:dyDescent="0.2">
      <c r="A94" s="59"/>
      <c r="B94" s="59"/>
      <c r="C94" s="59"/>
      <c r="D94" s="41"/>
      <c r="E94" s="33" t="s">
        <v>71</v>
      </c>
      <c r="F94" s="32" t="s">
        <v>71</v>
      </c>
      <c r="G94" s="32" t="s">
        <v>15</v>
      </c>
      <c r="H94" s="32" t="s">
        <v>46</v>
      </c>
      <c r="I94" s="32" t="s">
        <v>21</v>
      </c>
      <c r="J94" s="41"/>
      <c r="K94" s="34" t="s">
        <v>10</v>
      </c>
      <c r="L94" s="41"/>
      <c r="M94" s="32"/>
      <c r="N94" s="32" t="s">
        <v>23</v>
      </c>
      <c r="O94" s="41"/>
      <c r="P94" s="41"/>
      <c r="Q94" s="41"/>
      <c r="R94" s="41"/>
      <c r="S94" s="7" t="s">
        <v>71</v>
      </c>
      <c r="T94" s="6" t="s">
        <v>71</v>
      </c>
    </row>
    <row r="95" spans="1:25" x14ac:dyDescent="0.2">
      <c r="A95" s="59"/>
      <c r="B95" s="59"/>
      <c r="C95" s="59"/>
      <c r="D95" s="41"/>
      <c r="E95" s="33" t="s">
        <v>71</v>
      </c>
      <c r="F95" s="32" t="s">
        <v>71</v>
      </c>
      <c r="G95" s="32" t="s">
        <v>15</v>
      </c>
      <c r="H95" s="32" t="s">
        <v>46</v>
      </c>
      <c r="I95" s="32" t="s">
        <v>21</v>
      </c>
      <c r="J95" s="41"/>
      <c r="K95" s="34" t="s">
        <v>10</v>
      </c>
      <c r="L95" s="41"/>
      <c r="M95" s="32"/>
      <c r="N95" s="32" t="s">
        <v>22</v>
      </c>
      <c r="O95" s="41"/>
      <c r="P95" s="41"/>
      <c r="Q95" s="41"/>
      <c r="R95" s="41"/>
      <c r="S95" s="7" t="s">
        <v>71</v>
      </c>
      <c r="T95" s="6" t="s">
        <v>71</v>
      </c>
    </row>
    <row r="96" spans="1:25" x14ac:dyDescent="0.2">
      <c r="A96" s="59"/>
      <c r="B96" s="59"/>
      <c r="C96" s="59"/>
      <c r="D96" s="41"/>
      <c r="E96" s="33" t="s">
        <v>71</v>
      </c>
      <c r="F96" s="32" t="s">
        <v>71</v>
      </c>
      <c r="G96" s="32" t="s">
        <v>15</v>
      </c>
      <c r="H96" s="32" t="s">
        <v>46</v>
      </c>
      <c r="I96" s="32" t="s">
        <v>21</v>
      </c>
      <c r="J96" s="41"/>
      <c r="K96" s="34" t="s">
        <v>10</v>
      </c>
      <c r="L96" s="41"/>
      <c r="M96" s="32" t="s">
        <v>21</v>
      </c>
      <c r="N96" s="32" t="s">
        <v>22</v>
      </c>
      <c r="O96" s="41"/>
      <c r="P96" s="41"/>
      <c r="Q96" s="41"/>
      <c r="R96" s="41"/>
      <c r="S96" s="7" t="s">
        <v>71</v>
      </c>
      <c r="T96" s="6" t="s">
        <v>71</v>
      </c>
    </row>
    <row r="97" spans="1:25" x14ac:dyDescent="0.2">
      <c r="A97" s="59"/>
      <c r="B97" s="59"/>
      <c r="C97" s="59"/>
      <c r="D97" s="41"/>
      <c r="E97" s="33" t="s">
        <v>71</v>
      </c>
      <c r="F97" s="32" t="s">
        <v>71</v>
      </c>
      <c r="G97" s="32" t="s">
        <v>15</v>
      </c>
      <c r="H97" s="32" t="s">
        <v>46</v>
      </c>
      <c r="I97" s="32" t="s">
        <v>21</v>
      </c>
      <c r="J97" s="41"/>
      <c r="K97" s="34" t="s">
        <v>10</v>
      </c>
      <c r="L97" s="41"/>
      <c r="M97" s="32"/>
      <c r="N97" s="32" t="s">
        <v>23</v>
      </c>
      <c r="O97" s="41"/>
      <c r="P97" s="41"/>
      <c r="Q97" s="41"/>
      <c r="R97" s="41"/>
      <c r="S97" s="7" t="s">
        <v>71</v>
      </c>
      <c r="T97" s="6" t="s">
        <v>71</v>
      </c>
    </row>
    <row r="98" spans="1:25" x14ac:dyDescent="0.2">
      <c r="A98" s="59"/>
      <c r="B98" s="59"/>
      <c r="C98" s="59"/>
      <c r="D98" s="41"/>
      <c r="E98" s="33" t="s">
        <v>71</v>
      </c>
      <c r="F98" s="32" t="s">
        <v>71</v>
      </c>
      <c r="G98" s="32" t="s">
        <v>15</v>
      </c>
      <c r="H98" s="32" t="s">
        <v>46</v>
      </c>
      <c r="I98" s="32" t="s">
        <v>21</v>
      </c>
      <c r="J98" s="41"/>
      <c r="K98" s="34" t="s">
        <v>10</v>
      </c>
      <c r="L98" s="41"/>
      <c r="M98" s="32"/>
      <c r="N98" s="32" t="s">
        <v>11</v>
      </c>
      <c r="O98" s="41"/>
      <c r="P98" s="41"/>
      <c r="Q98" s="41"/>
      <c r="R98" s="41"/>
      <c r="S98" s="7" t="s">
        <v>71</v>
      </c>
      <c r="T98" s="6" t="s">
        <v>71</v>
      </c>
    </row>
    <row r="99" spans="1:25" x14ac:dyDescent="0.2">
      <c r="A99" s="60"/>
      <c r="B99" s="60"/>
      <c r="C99" s="60"/>
      <c r="D99" s="41"/>
      <c r="E99" s="33" t="s">
        <v>71</v>
      </c>
      <c r="F99" s="32" t="s">
        <v>71</v>
      </c>
      <c r="G99" s="32" t="s">
        <v>15</v>
      </c>
      <c r="H99" s="32" t="s">
        <v>46</v>
      </c>
      <c r="I99" s="32" t="s">
        <v>21</v>
      </c>
      <c r="J99" s="41"/>
      <c r="K99" s="34" t="s">
        <v>10</v>
      </c>
      <c r="L99" s="41"/>
      <c r="M99" s="32"/>
      <c r="N99" s="32" t="s">
        <v>24</v>
      </c>
      <c r="O99" s="41"/>
      <c r="P99" s="41"/>
      <c r="Q99" s="41"/>
      <c r="R99" s="41"/>
      <c r="S99" s="7" t="s">
        <v>71</v>
      </c>
      <c r="T99" s="6" t="s">
        <v>71</v>
      </c>
    </row>
    <row r="100" spans="1:25" x14ac:dyDescent="0.2">
      <c r="A100" s="61"/>
      <c r="B100" s="61"/>
      <c r="C100" s="61"/>
      <c r="D100" s="61"/>
      <c r="E100" s="61"/>
      <c r="F100" s="61"/>
      <c r="G100" s="61"/>
      <c r="H100" s="61"/>
      <c r="I100" s="61"/>
      <c r="J100" s="61"/>
      <c r="K100" s="61"/>
      <c r="L100" s="61"/>
      <c r="M100" s="61"/>
      <c r="N100" s="61"/>
      <c r="O100" s="61"/>
      <c r="P100" s="61"/>
      <c r="Q100" s="61"/>
      <c r="R100" s="61"/>
      <c r="S100" s="1"/>
      <c r="T100" s="1"/>
    </row>
    <row r="101" spans="1:25" x14ac:dyDescent="0.2">
      <c r="A101" s="39" t="s">
        <v>26</v>
      </c>
      <c r="B101" s="39" t="s">
        <v>27</v>
      </c>
      <c r="C101" s="39" t="s">
        <v>28</v>
      </c>
      <c r="D101" s="39" t="s">
        <v>13</v>
      </c>
      <c r="E101" s="39" t="s">
        <v>41</v>
      </c>
      <c r="F101" s="39" t="s">
        <v>42</v>
      </c>
      <c r="G101" s="39" t="s">
        <v>14</v>
      </c>
      <c r="H101" s="39" t="s">
        <v>3</v>
      </c>
      <c r="I101" s="39" t="s">
        <v>49</v>
      </c>
      <c r="J101" s="39" t="s">
        <v>18</v>
      </c>
      <c r="K101" s="39" t="s">
        <v>5</v>
      </c>
      <c r="L101" s="39" t="s">
        <v>6</v>
      </c>
      <c r="M101" s="39" t="s">
        <v>1</v>
      </c>
      <c r="N101" s="39" t="s">
        <v>7</v>
      </c>
      <c r="O101" s="39" t="s">
        <v>8</v>
      </c>
      <c r="P101" s="39" t="s">
        <v>25</v>
      </c>
      <c r="Q101" s="39" t="s">
        <v>9</v>
      </c>
      <c r="R101" s="39" t="s">
        <v>12</v>
      </c>
      <c r="S101" s="4" t="s">
        <v>41</v>
      </c>
      <c r="T101" s="4" t="s">
        <v>42</v>
      </c>
    </row>
    <row r="102" spans="1:25" ht="30" x14ac:dyDescent="0.2">
      <c r="A102" s="58" t="s">
        <v>19</v>
      </c>
      <c r="B102" s="58" t="s">
        <v>19</v>
      </c>
      <c r="C102" s="58" t="s">
        <v>19</v>
      </c>
      <c r="D102" s="40" t="s">
        <v>19</v>
      </c>
      <c r="E102" s="33" t="s">
        <v>45</v>
      </c>
      <c r="F102" s="32" t="s">
        <v>48</v>
      </c>
      <c r="G102" s="32" t="s">
        <v>15</v>
      </c>
      <c r="H102" s="32" t="s">
        <v>46</v>
      </c>
      <c r="I102" s="32" t="s">
        <v>21</v>
      </c>
      <c r="J102" s="40"/>
      <c r="K102" s="34" t="s">
        <v>10</v>
      </c>
      <c r="L102" s="40"/>
      <c r="M102" s="32" t="s">
        <v>40</v>
      </c>
      <c r="N102" s="32" t="s">
        <v>23</v>
      </c>
      <c r="O102" s="40"/>
      <c r="P102" s="40"/>
      <c r="Q102" s="40"/>
      <c r="R102" s="40"/>
      <c r="S102" s="7" t="s">
        <v>44</v>
      </c>
      <c r="T102" s="6" t="s">
        <v>51</v>
      </c>
      <c r="Y102" t="s">
        <v>19</v>
      </c>
    </row>
    <row r="103" spans="1:25" x14ac:dyDescent="0.2">
      <c r="A103" s="59"/>
      <c r="B103" s="59"/>
      <c r="C103" s="59"/>
      <c r="D103" s="41"/>
      <c r="E103" s="33" t="s">
        <v>71</v>
      </c>
      <c r="F103" s="32" t="s">
        <v>71</v>
      </c>
      <c r="G103" s="32" t="s">
        <v>15</v>
      </c>
      <c r="H103" s="32" t="s">
        <v>46</v>
      </c>
      <c r="I103" s="32" t="s">
        <v>21</v>
      </c>
      <c r="J103" s="41"/>
      <c r="K103" s="34" t="s">
        <v>10</v>
      </c>
      <c r="L103" s="41"/>
      <c r="M103" s="32"/>
      <c r="N103" s="32" t="s">
        <v>23</v>
      </c>
      <c r="O103" s="41"/>
      <c r="P103" s="41"/>
      <c r="Q103" s="41"/>
      <c r="R103" s="41"/>
      <c r="S103" s="7" t="s">
        <v>71</v>
      </c>
      <c r="T103" s="6" t="s">
        <v>71</v>
      </c>
    </row>
    <row r="104" spans="1:25" x14ac:dyDescent="0.2">
      <c r="A104" s="59"/>
      <c r="B104" s="59"/>
      <c r="C104" s="59"/>
      <c r="D104" s="41" t="s">
        <v>19</v>
      </c>
      <c r="E104" s="33" t="s">
        <v>71</v>
      </c>
      <c r="F104" s="32" t="s">
        <v>71</v>
      </c>
      <c r="G104" s="32" t="s">
        <v>15</v>
      </c>
      <c r="H104" s="32" t="s">
        <v>46</v>
      </c>
      <c r="I104" s="32" t="s">
        <v>21</v>
      </c>
      <c r="J104" s="41"/>
      <c r="K104" s="34" t="s">
        <v>10</v>
      </c>
      <c r="L104" s="41"/>
      <c r="M104" s="32"/>
      <c r="N104" s="32" t="s">
        <v>22</v>
      </c>
      <c r="O104" s="41"/>
      <c r="P104" s="41"/>
      <c r="Q104" s="41"/>
      <c r="R104" s="41"/>
      <c r="S104" s="7" t="s">
        <v>71</v>
      </c>
      <c r="T104" s="6" t="s">
        <v>71</v>
      </c>
    </row>
    <row r="105" spans="1:25" x14ac:dyDescent="0.2">
      <c r="A105" s="59"/>
      <c r="B105" s="59"/>
      <c r="C105" s="59"/>
      <c r="D105" s="41"/>
      <c r="E105" s="33" t="s">
        <v>71</v>
      </c>
      <c r="F105" s="32" t="s">
        <v>71</v>
      </c>
      <c r="G105" s="32" t="s">
        <v>15</v>
      </c>
      <c r="H105" s="32" t="s">
        <v>75</v>
      </c>
      <c r="I105" s="32" t="s">
        <v>21</v>
      </c>
      <c r="J105" s="41"/>
      <c r="K105" s="34" t="s">
        <v>10</v>
      </c>
      <c r="L105" s="41"/>
      <c r="M105" s="32"/>
      <c r="N105" s="32" t="s">
        <v>22</v>
      </c>
      <c r="O105" s="41"/>
      <c r="P105" s="41"/>
      <c r="Q105" s="41"/>
      <c r="R105" s="41"/>
      <c r="S105" s="7" t="s">
        <v>71</v>
      </c>
      <c r="T105" s="6" t="s">
        <v>71</v>
      </c>
    </row>
    <row r="106" spans="1:25" x14ac:dyDescent="0.2">
      <c r="A106" s="59"/>
      <c r="B106" s="59"/>
      <c r="C106" s="59"/>
      <c r="D106" s="41"/>
      <c r="E106" s="33" t="s">
        <v>71</v>
      </c>
      <c r="F106" s="32" t="s">
        <v>71</v>
      </c>
      <c r="G106" s="32" t="s">
        <v>15</v>
      </c>
      <c r="H106" s="32" t="s">
        <v>46</v>
      </c>
      <c r="I106" s="32" t="s">
        <v>21</v>
      </c>
      <c r="J106" s="41"/>
      <c r="K106" s="34" t="s">
        <v>10</v>
      </c>
      <c r="L106" s="41"/>
      <c r="M106" s="32"/>
      <c r="N106" s="32" t="s">
        <v>23</v>
      </c>
      <c r="O106" s="41"/>
      <c r="P106" s="41"/>
      <c r="Q106" s="41"/>
      <c r="R106" s="41"/>
      <c r="S106" s="7" t="s">
        <v>71</v>
      </c>
      <c r="T106" s="6" t="s">
        <v>71</v>
      </c>
    </row>
    <row r="107" spans="1:25" x14ac:dyDescent="0.2">
      <c r="A107" s="59"/>
      <c r="B107" s="59"/>
      <c r="C107" s="59"/>
      <c r="D107" s="41"/>
      <c r="E107" s="33" t="s">
        <v>71</v>
      </c>
      <c r="F107" s="32" t="s">
        <v>71</v>
      </c>
      <c r="G107" s="32" t="s">
        <v>15</v>
      </c>
      <c r="H107" s="32" t="s">
        <v>46</v>
      </c>
      <c r="I107" s="32" t="s">
        <v>21</v>
      </c>
      <c r="J107" s="41"/>
      <c r="K107" s="34" t="s">
        <v>10</v>
      </c>
      <c r="L107" s="41"/>
      <c r="M107" s="32"/>
      <c r="N107" s="32" t="s">
        <v>22</v>
      </c>
      <c r="O107" s="41"/>
      <c r="P107" s="41"/>
      <c r="Q107" s="41"/>
      <c r="R107" s="41"/>
      <c r="S107" s="7" t="s">
        <v>71</v>
      </c>
      <c r="T107" s="6" t="s">
        <v>71</v>
      </c>
    </row>
    <row r="108" spans="1:25" x14ac:dyDescent="0.2">
      <c r="A108" s="59"/>
      <c r="B108" s="59"/>
      <c r="C108" s="59"/>
      <c r="D108" s="41"/>
      <c r="E108" s="33" t="s">
        <v>71</v>
      </c>
      <c r="F108" s="32" t="s">
        <v>71</v>
      </c>
      <c r="G108" s="32" t="s">
        <v>15</v>
      </c>
      <c r="H108" s="32" t="s">
        <v>46</v>
      </c>
      <c r="I108" s="32" t="s">
        <v>21</v>
      </c>
      <c r="J108" s="41"/>
      <c r="K108" s="34" t="s">
        <v>10</v>
      </c>
      <c r="L108" s="41"/>
      <c r="M108" s="32" t="s">
        <v>21</v>
      </c>
      <c r="N108" s="32" t="s">
        <v>22</v>
      </c>
      <c r="O108" s="41"/>
      <c r="P108" s="41"/>
      <c r="Q108" s="41"/>
      <c r="R108" s="41"/>
      <c r="S108" s="7" t="s">
        <v>71</v>
      </c>
      <c r="T108" s="6" t="s">
        <v>71</v>
      </c>
    </row>
    <row r="109" spans="1:25" x14ac:dyDescent="0.2">
      <c r="A109" s="59"/>
      <c r="B109" s="59"/>
      <c r="C109" s="59"/>
      <c r="D109" s="41"/>
      <c r="E109" s="33" t="s">
        <v>71</v>
      </c>
      <c r="F109" s="32" t="s">
        <v>71</v>
      </c>
      <c r="G109" s="32" t="s">
        <v>15</v>
      </c>
      <c r="H109" s="32" t="s">
        <v>46</v>
      </c>
      <c r="I109" s="32" t="s">
        <v>21</v>
      </c>
      <c r="J109" s="41"/>
      <c r="K109" s="34" t="s">
        <v>10</v>
      </c>
      <c r="L109" s="41"/>
      <c r="M109" s="32"/>
      <c r="N109" s="32" t="s">
        <v>23</v>
      </c>
      <c r="O109" s="41"/>
      <c r="P109" s="41"/>
      <c r="Q109" s="41"/>
      <c r="R109" s="41"/>
      <c r="S109" s="7" t="s">
        <v>71</v>
      </c>
      <c r="T109" s="6" t="s">
        <v>71</v>
      </c>
    </row>
    <row r="110" spans="1:25" x14ac:dyDescent="0.2">
      <c r="A110" s="59"/>
      <c r="B110" s="59"/>
      <c r="C110" s="59"/>
      <c r="D110" s="41"/>
      <c r="E110" s="33" t="s">
        <v>71</v>
      </c>
      <c r="F110" s="32" t="s">
        <v>71</v>
      </c>
      <c r="G110" s="32" t="s">
        <v>15</v>
      </c>
      <c r="H110" s="32" t="s">
        <v>46</v>
      </c>
      <c r="I110" s="32" t="s">
        <v>21</v>
      </c>
      <c r="J110" s="41"/>
      <c r="K110" s="34" t="s">
        <v>10</v>
      </c>
      <c r="L110" s="41"/>
      <c r="M110" s="32"/>
      <c r="N110" s="32" t="s">
        <v>11</v>
      </c>
      <c r="O110" s="41"/>
      <c r="P110" s="41"/>
      <c r="Q110" s="41"/>
      <c r="R110" s="41"/>
      <c r="S110" s="7" t="s">
        <v>71</v>
      </c>
      <c r="T110" s="6" t="s">
        <v>71</v>
      </c>
    </row>
    <row r="111" spans="1:25" x14ac:dyDescent="0.2">
      <c r="A111" s="60"/>
      <c r="B111" s="60"/>
      <c r="C111" s="60"/>
      <c r="D111" s="41"/>
      <c r="E111" s="33" t="s">
        <v>71</v>
      </c>
      <c r="F111" s="32" t="s">
        <v>71</v>
      </c>
      <c r="G111" s="32" t="s">
        <v>15</v>
      </c>
      <c r="H111" s="32" t="s">
        <v>46</v>
      </c>
      <c r="I111" s="32" t="s">
        <v>21</v>
      </c>
      <c r="J111" s="41"/>
      <c r="K111" s="34" t="s">
        <v>10</v>
      </c>
      <c r="L111" s="41"/>
      <c r="M111" s="32"/>
      <c r="N111" s="32" t="s">
        <v>24</v>
      </c>
      <c r="O111" s="41"/>
      <c r="P111" s="41"/>
      <c r="Q111" s="41"/>
      <c r="R111" s="41"/>
      <c r="S111" s="7" t="s">
        <v>71</v>
      </c>
      <c r="T111" s="6" t="s">
        <v>71</v>
      </c>
    </row>
    <row r="112" spans="1:25" x14ac:dyDescent="0.2">
      <c r="A112" s="61"/>
      <c r="B112" s="61"/>
      <c r="C112" s="61"/>
      <c r="D112" s="61"/>
      <c r="E112" s="61"/>
      <c r="F112" s="61"/>
      <c r="G112" s="61"/>
      <c r="H112" s="61"/>
      <c r="I112" s="61"/>
      <c r="J112" s="61"/>
      <c r="K112" s="61"/>
      <c r="L112" s="61"/>
      <c r="M112" s="61"/>
      <c r="N112" s="61"/>
      <c r="O112" s="61"/>
      <c r="P112" s="61"/>
      <c r="Q112" s="61"/>
      <c r="R112" s="61"/>
      <c r="S112" s="1"/>
      <c r="T112" s="1"/>
    </row>
    <row r="113" spans="1:25" x14ac:dyDescent="0.2">
      <c r="A113" s="39" t="s">
        <v>26</v>
      </c>
      <c r="B113" s="39" t="s">
        <v>27</v>
      </c>
      <c r="C113" s="39" t="s">
        <v>28</v>
      </c>
      <c r="D113" s="39" t="s">
        <v>13</v>
      </c>
      <c r="E113" s="39" t="s">
        <v>41</v>
      </c>
      <c r="F113" s="39" t="s">
        <v>42</v>
      </c>
      <c r="G113" s="39" t="s">
        <v>14</v>
      </c>
      <c r="H113" s="39" t="s">
        <v>3</v>
      </c>
      <c r="I113" s="39" t="s">
        <v>49</v>
      </c>
      <c r="J113" s="39" t="s">
        <v>18</v>
      </c>
      <c r="K113" s="39" t="s">
        <v>5</v>
      </c>
      <c r="L113" s="39" t="s">
        <v>6</v>
      </c>
      <c r="M113" s="39" t="s">
        <v>1</v>
      </c>
      <c r="N113" s="39" t="s">
        <v>7</v>
      </c>
      <c r="O113" s="39" t="s">
        <v>8</v>
      </c>
      <c r="P113" s="39" t="s">
        <v>25</v>
      </c>
      <c r="Q113" s="39" t="s">
        <v>9</v>
      </c>
      <c r="R113" s="39" t="s">
        <v>12</v>
      </c>
      <c r="S113" s="4" t="s">
        <v>41</v>
      </c>
      <c r="T113" s="4" t="s">
        <v>42</v>
      </c>
    </row>
    <row r="114" spans="1:25" ht="30" x14ac:dyDescent="0.2">
      <c r="A114" s="58" t="s">
        <v>19</v>
      </c>
      <c r="B114" s="58" t="s">
        <v>19</v>
      </c>
      <c r="C114" s="58" t="s">
        <v>19</v>
      </c>
      <c r="D114" s="40" t="s">
        <v>19</v>
      </c>
      <c r="E114" s="33" t="s">
        <v>54</v>
      </c>
      <c r="F114" s="32" t="s">
        <v>48</v>
      </c>
      <c r="G114" s="32" t="s">
        <v>15</v>
      </c>
      <c r="H114" s="32" t="s">
        <v>46</v>
      </c>
      <c r="I114" s="32" t="s">
        <v>21</v>
      </c>
      <c r="J114" s="40"/>
      <c r="K114" s="34" t="s">
        <v>10</v>
      </c>
      <c r="L114" s="40"/>
      <c r="M114" s="32" t="s">
        <v>40</v>
      </c>
      <c r="N114" s="32" t="s">
        <v>23</v>
      </c>
      <c r="O114" s="40"/>
      <c r="P114" s="40"/>
      <c r="Q114" s="40"/>
      <c r="R114" s="40"/>
      <c r="S114" s="7" t="s">
        <v>44</v>
      </c>
      <c r="T114" s="6" t="s">
        <v>52</v>
      </c>
      <c r="Y114" t="s">
        <v>19</v>
      </c>
    </row>
    <row r="115" spans="1:25" x14ac:dyDescent="0.2">
      <c r="A115" s="59"/>
      <c r="B115" s="59"/>
      <c r="C115" s="59"/>
      <c r="D115" s="41"/>
      <c r="E115" s="33" t="s">
        <v>71</v>
      </c>
      <c r="F115" s="32" t="s">
        <v>71</v>
      </c>
      <c r="G115" s="32" t="s">
        <v>15</v>
      </c>
      <c r="H115" s="32" t="s">
        <v>46</v>
      </c>
      <c r="I115" s="32" t="s">
        <v>21</v>
      </c>
      <c r="J115" s="41"/>
      <c r="K115" s="34" t="s">
        <v>10</v>
      </c>
      <c r="L115" s="41"/>
      <c r="M115" s="32"/>
      <c r="N115" s="32" t="s">
        <v>23</v>
      </c>
      <c r="O115" s="41"/>
      <c r="P115" s="41"/>
      <c r="Q115" s="41"/>
      <c r="R115" s="41"/>
      <c r="S115" s="7" t="s">
        <v>71</v>
      </c>
      <c r="T115" s="6" t="s">
        <v>71</v>
      </c>
    </row>
    <row r="116" spans="1:25" x14ac:dyDescent="0.2">
      <c r="A116" s="59"/>
      <c r="B116" s="59"/>
      <c r="C116" s="59"/>
      <c r="D116" s="41" t="s">
        <v>19</v>
      </c>
      <c r="E116" s="33" t="s">
        <v>71</v>
      </c>
      <c r="F116" s="32" t="s">
        <v>71</v>
      </c>
      <c r="G116" s="32" t="s">
        <v>15</v>
      </c>
      <c r="H116" s="32" t="s">
        <v>46</v>
      </c>
      <c r="I116" s="32" t="s">
        <v>21</v>
      </c>
      <c r="J116" s="41"/>
      <c r="K116" s="34" t="s">
        <v>10</v>
      </c>
      <c r="L116" s="41"/>
      <c r="M116" s="32"/>
      <c r="N116" s="32" t="s">
        <v>22</v>
      </c>
      <c r="O116" s="41"/>
      <c r="P116" s="41"/>
      <c r="Q116" s="41"/>
      <c r="R116" s="41"/>
      <c r="S116" s="7" t="s">
        <v>71</v>
      </c>
      <c r="T116" s="6" t="s">
        <v>71</v>
      </c>
    </row>
    <row r="117" spans="1:25" x14ac:dyDescent="0.2">
      <c r="A117" s="59"/>
      <c r="B117" s="59"/>
      <c r="C117" s="59"/>
      <c r="D117" s="41"/>
      <c r="E117" s="33" t="s">
        <v>71</v>
      </c>
      <c r="F117" s="32" t="s">
        <v>71</v>
      </c>
      <c r="G117" s="32" t="s">
        <v>15</v>
      </c>
      <c r="H117" s="32" t="s">
        <v>73</v>
      </c>
      <c r="I117" s="32" t="s">
        <v>21</v>
      </c>
      <c r="J117" s="41"/>
      <c r="K117" s="34" t="s">
        <v>10</v>
      </c>
      <c r="L117" s="41"/>
      <c r="M117" s="32"/>
      <c r="N117" s="32" t="s">
        <v>22</v>
      </c>
      <c r="O117" s="41"/>
      <c r="P117" s="41"/>
      <c r="Q117" s="41"/>
      <c r="R117" s="41"/>
      <c r="S117" s="7" t="s">
        <v>71</v>
      </c>
      <c r="T117" s="6" t="s">
        <v>71</v>
      </c>
    </row>
    <row r="118" spans="1:25" x14ac:dyDescent="0.2">
      <c r="A118" s="59"/>
      <c r="B118" s="59"/>
      <c r="C118" s="59"/>
      <c r="D118" s="41"/>
      <c r="E118" s="33" t="s">
        <v>71</v>
      </c>
      <c r="F118" s="32" t="s">
        <v>71</v>
      </c>
      <c r="G118" s="32" t="s">
        <v>15</v>
      </c>
      <c r="H118" s="32" t="s">
        <v>46</v>
      </c>
      <c r="I118" s="32" t="s">
        <v>21</v>
      </c>
      <c r="J118" s="41"/>
      <c r="K118" s="34" t="s">
        <v>10</v>
      </c>
      <c r="L118" s="41"/>
      <c r="M118" s="32"/>
      <c r="N118" s="32" t="s">
        <v>23</v>
      </c>
      <c r="O118" s="41"/>
      <c r="P118" s="41"/>
      <c r="Q118" s="41"/>
      <c r="R118" s="41"/>
      <c r="S118" s="7" t="s">
        <v>71</v>
      </c>
      <c r="T118" s="6" t="s">
        <v>71</v>
      </c>
    </row>
    <row r="119" spans="1:25" x14ac:dyDescent="0.2">
      <c r="A119" s="59"/>
      <c r="B119" s="59"/>
      <c r="C119" s="59"/>
      <c r="D119" s="41"/>
      <c r="E119" s="33" t="s">
        <v>71</v>
      </c>
      <c r="F119" s="32" t="s">
        <v>71</v>
      </c>
      <c r="G119" s="32" t="s">
        <v>15</v>
      </c>
      <c r="H119" s="32" t="s">
        <v>72</v>
      </c>
      <c r="I119" s="32" t="s">
        <v>21</v>
      </c>
      <c r="J119" s="41"/>
      <c r="K119" s="34" t="s">
        <v>10</v>
      </c>
      <c r="L119" s="41"/>
      <c r="M119" s="32"/>
      <c r="N119" s="32" t="s">
        <v>22</v>
      </c>
      <c r="O119" s="41"/>
      <c r="P119" s="41"/>
      <c r="Q119" s="41"/>
      <c r="R119" s="41"/>
      <c r="S119" s="7" t="s">
        <v>71</v>
      </c>
      <c r="T119" s="6" t="s">
        <v>71</v>
      </c>
    </row>
    <row r="120" spans="1:25" x14ac:dyDescent="0.2">
      <c r="A120" s="59"/>
      <c r="B120" s="59"/>
      <c r="C120" s="59"/>
      <c r="D120" s="41"/>
      <c r="E120" s="33" t="s">
        <v>71</v>
      </c>
      <c r="F120" s="32" t="s">
        <v>71</v>
      </c>
      <c r="G120" s="32" t="s">
        <v>15</v>
      </c>
      <c r="H120" s="32" t="s">
        <v>46</v>
      </c>
      <c r="I120" s="32" t="s">
        <v>21</v>
      </c>
      <c r="J120" s="41"/>
      <c r="K120" s="34" t="s">
        <v>10</v>
      </c>
      <c r="L120" s="41"/>
      <c r="M120" s="32" t="s">
        <v>21</v>
      </c>
      <c r="N120" s="32" t="s">
        <v>22</v>
      </c>
      <c r="O120" s="41"/>
      <c r="P120" s="41"/>
      <c r="Q120" s="41"/>
      <c r="R120" s="41"/>
      <c r="S120" s="7" t="s">
        <v>71</v>
      </c>
      <c r="T120" s="6" t="s">
        <v>71</v>
      </c>
    </row>
    <row r="121" spans="1:25" x14ac:dyDescent="0.2">
      <c r="A121" s="59"/>
      <c r="B121" s="59"/>
      <c r="C121" s="59"/>
      <c r="D121" s="41"/>
      <c r="E121" s="33" t="s">
        <v>71</v>
      </c>
      <c r="F121" s="32" t="s">
        <v>71</v>
      </c>
      <c r="G121" s="32" t="s">
        <v>15</v>
      </c>
      <c r="H121" s="32" t="s">
        <v>38</v>
      </c>
      <c r="I121" s="32" t="s">
        <v>21</v>
      </c>
      <c r="J121" s="41"/>
      <c r="K121" s="34" t="s">
        <v>10</v>
      </c>
      <c r="L121" s="41"/>
      <c r="M121" s="32"/>
      <c r="N121" s="32" t="s">
        <v>23</v>
      </c>
      <c r="O121" s="41"/>
      <c r="P121" s="41"/>
      <c r="Q121" s="41"/>
      <c r="R121" s="41"/>
      <c r="S121" s="7" t="s">
        <v>71</v>
      </c>
      <c r="T121" s="6" t="s">
        <v>71</v>
      </c>
    </row>
    <row r="122" spans="1:25" x14ac:dyDescent="0.2">
      <c r="A122" s="59"/>
      <c r="B122" s="59"/>
      <c r="C122" s="59"/>
      <c r="D122" s="41"/>
      <c r="E122" s="33" t="s">
        <v>71</v>
      </c>
      <c r="F122" s="32" t="s">
        <v>71</v>
      </c>
      <c r="G122" s="32" t="s">
        <v>15</v>
      </c>
      <c r="H122" s="32" t="s">
        <v>76</v>
      </c>
      <c r="I122" s="32" t="s">
        <v>21</v>
      </c>
      <c r="J122" s="41"/>
      <c r="K122" s="34" t="s">
        <v>10</v>
      </c>
      <c r="L122" s="41"/>
      <c r="M122" s="32"/>
      <c r="N122" s="32" t="s">
        <v>11</v>
      </c>
      <c r="O122" s="41"/>
      <c r="P122" s="41"/>
      <c r="Q122" s="41"/>
      <c r="R122" s="41"/>
      <c r="S122" s="7" t="s">
        <v>71</v>
      </c>
      <c r="T122" s="6" t="s">
        <v>71</v>
      </c>
    </row>
    <row r="123" spans="1:25" x14ac:dyDescent="0.2">
      <c r="A123" s="60"/>
      <c r="B123" s="60"/>
      <c r="C123" s="60"/>
      <c r="D123" s="41"/>
      <c r="E123" s="33" t="s">
        <v>71</v>
      </c>
      <c r="F123" s="32" t="s">
        <v>71</v>
      </c>
      <c r="G123" s="32" t="s">
        <v>15</v>
      </c>
      <c r="H123" s="32" t="s">
        <v>46</v>
      </c>
      <c r="I123" s="32" t="s">
        <v>21</v>
      </c>
      <c r="J123" s="41"/>
      <c r="K123" s="34" t="s">
        <v>10</v>
      </c>
      <c r="L123" s="41"/>
      <c r="M123" s="32"/>
      <c r="N123" s="32" t="s">
        <v>24</v>
      </c>
      <c r="O123" s="41"/>
      <c r="P123" s="41"/>
      <c r="Q123" s="41"/>
      <c r="R123" s="41"/>
      <c r="S123" s="7" t="s">
        <v>71</v>
      </c>
      <c r="T123" s="6" t="s">
        <v>71</v>
      </c>
    </row>
    <row r="124" spans="1:25" x14ac:dyDescent="0.2">
      <c r="A124" s="42"/>
      <c r="B124" s="42"/>
      <c r="C124" s="42"/>
      <c r="D124" s="42"/>
      <c r="E124" s="42"/>
      <c r="F124" s="42"/>
      <c r="G124" s="42"/>
      <c r="H124" s="42"/>
      <c r="I124" s="42"/>
      <c r="J124" s="42"/>
      <c r="K124" s="42"/>
      <c r="L124" s="42"/>
      <c r="M124" s="42"/>
      <c r="N124" s="42"/>
      <c r="O124" s="42"/>
      <c r="P124" s="42"/>
      <c r="Q124" s="42"/>
      <c r="R124" s="42"/>
    </row>
    <row r="125" spans="1:25" x14ac:dyDescent="0.2">
      <c r="A125" s="42"/>
      <c r="B125" s="42"/>
      <c r="C125" s="42"/>
      <c r="D125" s="42"/>
      <c r="E125" s="42"/>
      <c r="F125" s="42"/>
      <c r="G125" s="42"/>
      <c r="H125" s="42"/>
      <c r="I125" s="42"/>
      <c r="J125" s="42"/>
      <c r="K125" s="42"/>
      <c r="L125" s="42"/>
      <c r="M125" s="42"/>
      <c r="N125" s="42"/>
      <c r="O125" s="42"/>
      <c r="P125" s="42"/>
      <c r="Q125" s="42"/>
      <c r="R125" s="42"/>
    </row>
    <row r="126" spans="1:25" x14ac:dyDescent="0.2">
      <c r="A126" s="42"/>
      <c r="B126" s="42"/>
      <c r="C126" s="42"/>
      <c r="D126" s="42"/>
      <c r="E126" s="42"/>
      <c r="F126" s="42"/>
      <c r="G126" s="42"/>
      <c r="H126" s="42"/>
      <c r="I126" s="42"/>
      <c r="J126" s="42"/>
      <c r="K126" s="42"/>
      <c r="L126" s="42"/>
      <c r="M126" s="42"/>
      <c r="N126" s="42"/>
      <c r="O126" s="42"/>
      <c r="P126" s="42"/>
      <c r="Q126" s="42"/>
      <c r="R126" s="42"/>
    </row>
    <row r="127" spans="1:25" x14ac:dyDescent="0.2">
      <c r="A127" s="42"/>
      <c r="B127" s="42"/>
      <c r="C127" s="42"/>
      <c r="D127" s="42"/>
      <c r="E127" s="42"/>
      <c r="F127" s="42"/>
      <c r="G127" s="42"/>
      <c r="H127" s="42"/>
      <c r="I127" s="42"/>
      <c r="J127" s="42"/>
      <c r="K127" s="42"/>
      <c r="L127" s="42"/>
      <c r="M127" s="42"/>
      <c r="N127" s="42"/>
      <c r="O127" s="42"/>
      <c r="P127" s="42"/>
      <c r="Q127" s="42"/>
      <c r="R127" s="42"/>
    </row>
    <row r="128" spans="1:25" x14ac:dyDescent="0.2">
      <c r="A128" s="42"/>
      <c r="B128" s="42"/>
      <c r="C128" s="42"/>
      <c r="D128" s="42"/>
      <c r="E128" s="42"/>
      <c r="F128" s="42"/>
      <c r="G128" s="42"/>
      <c r="H128" s="42"/>
      <c r="I128" s="42"/>
      <c r="J128" s="42"/>
      <c r="K128" s="42"/>
      <c r="L128" s="42"/>
      <c r="M128" s="42"/>
      <c r="N128" s="42"/>
      <c r="O128" s="42"/>
      <c r="P128" s="42"/>
      <c r="Q128" s="42"/>
      <c r="R128" s="42"/>
    </row>
    <row r="129" spans="1:18" x14ac:dyDescent="0.2">
      <c r="A129" s="43"/>
      <c r="B129" s="43"/>
      <c r="C129" s="43"/>
      <c r="D129" s="43"/>
      <c r="E129" s="43"/>
      <c r="F129" s="43"/>
      <c r="G129" s="43"/>
      <c r="H129" s="43"/>
      <c r="I129" s="43"/>
      <c r="J129" s="43"/>
      <c r="K129" s="43"/>
      <c r="L129" s="43"/>
      <c r="M129" s="43"/>
      <c r="N129" s="43"/>
      <c r="O129" s="43"/>
      <c r="P129" s="43"/>
      <c r="Q129" s="43"/>
      <c r="R129" s="43"/>
    </row>
  </sheetData>
  <mergeCells count="43">
    <mergeCell ref="A52:R52"/>
    <mergeCell ref="A54:A63"/>
    <mergeCell ref="B54:B63"/>
    <mergeCell ref="C54:C63"/>
    <mergeCell ref="A88:R88"/>
    <mergeCell ref="A76:R76"/>
    <mergeCell ref="A78:A87"/>
    <mergeCell ref="B78:B87"/>
    <mergeCell ref="C78:C87"/>
    <mergeCell ref="B1:R1"/>
    <mergeCell ref="B2:C2"/>
    <mergeCell ref="E4:F4"/>
    <mergeCell ref="A40:R40"/>
    <mergeCell ref="A42:A51"/>
    <mergeCell ref="B42:B51"/>
    <mergeCell ref="C42:C51"/>
    <mergeCell ref="A28:R28"/>
    <mergeCell ref="A30:A39"/>
    <mergeCell ref="B30:B39"/>
    <mergeCell ref="C30:C39"/>
    <mergeCell ref="A90:A99"/>
    <mergeCell ref="B90:B99"/>
    <mergeCell ref="C90:C99"/>
    <mergeCell ref="A100:R100"/>
    <mergeCell ref="S4:T4"/>
    <mergeCell ref="A16:R16"/>
    <mergeCell ref="A6:A15"/>
    <mergeCell ref="B6:B15"/>
    <mergeCell ref="C6:C15"/>
    <mergeCell ref="A18:A27"/>
    <mergeCell ref="B18:B27"/>
    <mergeCell ref="C18:C27"/>
    <mergeCell ref="A64:R64"/>
    <mergeCell ref="A66:A75"/>
    <mergeCell ref="B66:B75"/>
    <mergeCell ref="C66:C75"/>
    <mergeCell ref="A102:A111"/>
    <mergeCell ref="B102:B111"/>
    <mergeCell ref="C102:C111"/>
    <mergeCell ref="A112:R112"/>
    <mergeCell ref="A114:A123"/>
    <mergeCell ref="B114:B123"/>
    <mergeCell ref="C114:C123"/>
  </mergeCells>
  <conditionalFormatting sqref="E6:E15">
    <cfRule type="colorScale" priority="1494">
      <colorScale>
        <cfvo type="min"/>
        <cfvo type="max"/>
        <color rgb="FFFF7128"/>
        <color rgb="FFFFEF9C"/>
      </colorScale>
    </cfRule>
    <cfRule type="colorScale" priority="1493">
      <colorScale>
        <cfvo type="min"/>
        <cfvo type="max"/>
        <color rgb="FF92D050"/>
        <color rgb="FFFFEF9C"/>
      </colorScale>
    </cfRule>
    <cfRule type="dataBar" priority="1492">
      <dataBar>
        <cfvo type="min"/>
        <cfvo type="max"/>
        <color rgb="FF638EC6"/>
      </dataBar>
      <extLst>
        <ext xmlns:x14="http://schemas.microsoft.com/office/spreadsheetml/2009/9/main" uri="{B025F937-C7B1-47D3-B67F-A62EFF666E3E}">
          <x14:id>{230BDB08-F744-EC4B-92AA-C3D6501CB4C0}</x14:id>
        </ext>
      </extLst>
    </cfRule>
    <cfRule type="cellIs" dxfId="509" priority="1475" operator="equal">
      <formula>"Low"</formula>
    </cfRule>
    <cfRule type="cellIs" dxfId="508" priority="1474" operator="equal">
      <formula>"Medium"</formula>
    </cfRule>
    <cfRule type="cellIs" dxfId="507" priority="1472" operator="equal">
      <formula>"Very High"</formula>
    </cfRule>
    <cfRule type="cellIs" dxfId="506" priority="1463" operator="equal">
      <formula>"Improbable"</formula>
    </cfRule>
    <cfRule type="cellIs" dxfId="505" priority="1462" operator="equal">
      <formula>"Improbable"</formula>
    </cfRule>
    <cfRule type="cellIs" dxfId="504" priority="1461" operator="equal">
      <formula>"Remote"</formula>
    </cfRule>
    <cfRule type="cellIs" dxfId="503" priority="1459" operator="equal">
      <formula>"Remote"</formula>
    </cfRule>
    <cfRule type="cellIs" dxfId="502" priority="1458" operator="equal">
      <formula>"Occasional"</formula>
    </cfRule>
    <cfRule type="cellIs" dxfId="501" priority="1457" operator="equal">
      <formula>"Probable"</formula>
    </cfRule>
    <cfRule type="cellIs" dxfId="500" priority="1456" operator="equal">
      <formula>"Frequent$E$21"</formula>
    </cfRule>
    <cfRule type="cellIs" dxfId="499" priority="1455" operator="equal">
      <formula>"Frequent"</formula>
    </cfRule>
    <cfRule type="cellIs" dxfId="498" priority="1454" operator="equal">
      <formula>"Low"</formula>
    </cfRule>
    <cfRule type="cellIs" dxfId="497" priority="1453" operator="equal">
      <formula>"Ver Low"</formula>
    </cfRule>
    <cfRule type="cellIs" dxfId="496" priority="1452" operator="equal">
      <formula>"Very Low"</formula>
    </cfRule>
    <cfRule type="cellIs" dxfId="495" priority="1420" operator="equal">
      <formula>"High"</formula>
    </cfRule>
  </conditionalFormatting>
  <conditionalFormatting sqref="E18:E27">
    <cfRule type="cellIs" dxfId="494" priority="843" operator="equal">
      <formula>"High"</formula>
    </cfRule>
    <cfRule type="cellIs" dxfId="493" priority="845" operator="equal">
      <formula>"Very Low"</formula>
    </cfRule>
    <cfRule type="cellIs" dxfId="492" priority="846" operator="equal">
      <formula>"Ver Low"</formula>
    </cfRule>
    <cfRule type="colorScale" priority="864">
      <colorScale>
        <cfvo type="min"/>
        <cfvo type="max"/>
        <color rgb="FFFF7128"/>
        <color rgb="FFFFEF9C"/>
      </colorScale>
    </cfRule>
    <cfRule type="colorScale" priority="863">
      <colorScale>
        <cfvo type="min"/>
        <cfvo type="max"/>
        <color rgb="FF92D050"/>
        <color rgb="FFFFEF9C"/>
      </colorScale>
    </cfRule>
    <cfRule type="dataBar" priority="862">
      <dataBar>
        <cfvo type="min"/>
        <cfvo type="max"/>
        <color rgb="FF638EC6"/>
      </dataBar>
      <extLst>
        <ext xmlns:x14="http://schemas.microsoft.com/office/spreadsheetml/2009/9/main" uri="{B025F937-C7B1-47D3-B67F-A62EFF666E3E}">
          <x14:id>{61C6A6A5-E2B2-BD47-A987-B22D1730D2CF}</x14:id>
        </ext>
      </extLst>
    </cfRule>
    <cfRule type="cellIs" dxfId="491" priority="861" operator="equal">
      <formula>"Low"</formula>
    </cfRule>
    <cfRule type="cellIs" dxfId="490" priority="860" operator="equal">
      <formula>"Medium"</formula>
    </cfRule>
    <cfRule type="cellIs" dxfId="489" priority="859" operator="equal">
      <formula>"Very High"</formula>
    </cfRule>
    <cfRule type="cellIs" dxfId="488" priority="855" operator="equal">
      <formula>"Improbable"</formula>
    </cfRule>
    <cfRule type="cellIs" dxfId="487" priority="854" operator="equal">
      <formula>"Improbable"</formula>
    </cfRule>
    <cfRule type="cellIs" dxfId="486" priority="853" operator="equal">
      <formula>"Remote"</formula>
    </cfRule>
    <cfRule type="cellIs" dxfId="485" priority="852" operator="equal">
      <formula>"Remote"</formula>
    </cfRule>
    <cfRule type="cellIs" dxfId="484" priority="851" operator="equal">
      <formula>"Occasional"</formula>
    </cfRule>
    <cfRule type="cellIs" dxfId="483" priority="850" operator="equal">
      <formula>"Probable"</formula>
    </cfRule>
    <cfRule type="cellIs" dxfId="482" priority="849" operator="equal">
      <formula>"Frequent$E$21"</formula>
    </cfRule>
    <cfRule type="cellIs" dxfId="481" priority="848" operator="equal">
      <formula>"Frequent"</formula>
    </cfRule>
    <cfRule type="cellIs" dxfId="480" priority="847" operator="equal">
      <formula>"Low"</formula>
    </cfRule>
  </conditionalFormatting>
  <conditionalFormatting sqref="E30">
    <cfRule type="colorScale" priority="836">
      <colorScale>
        <cfvo type="min"/>
        <cfvo type="max"/>
        <color rgb="FF92D050"/>
        <color rgb="FFFFEF9C"/>
      </colorScale>
    </cfRule>
    <cfRule type="dataBar" priority="835">
      <dataBar>
        <cfvo type="min"/>
        <cfvo type="max"/>
        <color rgb="FF638EC6"/>
      </dataBar>
      <extLst>
        <ext xmlns:x14="http://schemas.microsoft.com/office/spreadsheetml/2009/9/main" uri="{B025F937-C7B1-47D3-B67F-A62EFF666E3E}">
          <x14:id>{5141D737-F15C-B146-8F81-B839159C48CE}</x14:id>
        </ext>
      </extLst>
    </cfRule>
    <cfRule type="colorScale" priority="837">
      <colorScale>
        <cfvo type="min"/>
        <cfvo type="max"/>
        <color rgb="FFFF7128"/>
        <color rgb="FFFFEF9C"/>
      </colorScale>
    </cfRule>
  </conditionalFormatting>
  <conditionalFormatting sqref="E30:E39">
    <cfRule type="cellIs" dxfId="479" priority="801" operator="equal">
      <formula>"Improbable"</formula>
    </cfRule>
    <cfRule type="cellIs" dxfId="478" priority="799" operator="equal">
      <formula>"Remote"</formula>
    </cfRule>
    <cfRule type="cellIs" dxfId="477" priority="789" operator="equal">
      <formula>"High"</formula>
    </cfRule>
    <cfRule type="cellIs" dxfId="476" priority="793" operator="equal">
      <formula>"Low"</formula>
    </cfRule>
    <cfRule type="cellIs" dxfId="475" priority="794" operator="equal">
      <formula>"Frequent"</formula>
    </cfRule>
    <cfRule type="cellIs" dxfId="474" priority="795" operator="equal">
      <formula>"Frequent$E$21"</formula>
    </cfRule>
    <cfRule type="cellIs" dxfId="473" priority="807" operator="equal">
      <formula>"Low"</formula>
    </cfRule>
    <cfRule type="cellIs" dxfId="472" priority="806" operator="equal">
      <formula>"Medium"</formula>
    </cfRule>
    <cfRule type="cellIs" dxfId="471" priority="805" operator="equal">
      <formula>"Very High"</formula>
    </cfRule>
    <cfRule type="cellIs" dxfId="470" priority="791" operator="equal">
      <formula>"Very Low"</formula>
    </cfRule>
    <cfRule type="cellIs" dxfId="469" priority="800" operator="equal">
      <formula>"Improbable"</formula>
    </cfRule>
    <cfRule type="cellIs" dxfId="468" priority="792" operator="equal">
      <formula>"Ver Low"</formula>
    </cfRule>
    <cfRule type="cellIs" dxfId="467" priority="798" operator="equal">
      <formula>"Remote"</formula>
    </cfRule>
    <cfRule type="cellIs" dxfId="466" priority="797" operator="equal">
      <formula>"Occasional"</formula>
    </cfRule>
    <cfRule type="cellIs" dxfId="465" priority="796" operator="equal">
      <formula>"Probable"</formula>
    </cfRule>
  </conditionalFormatting>
  <conditionalFormatting sqref="E31:E39">
    <cfRule type="dataBar" priority="808">
      <dataBar>
        <cfvo type="min"/>
        <cfvo type="max"/>
        <color rgb="FF638EC6"/>
      </dataBar>
      <extLst>
        <ext xmlns:x14="http://schemas.microsoft.com/office/spreadsheetml/2009/9/main" uri="{B025F937-C7B1-47D3-B67F-A62EFF666E3E}">
          <x14:id>{3208A993-0AA0-F747-97C2-EDB428085397}</x14:id>
        </ext>
      </extLst>
    </cfRule>
    <cfRule type="colorScale" priority="809">
      <colorScale>
        <cfvo type="min"/>
        <cfvo type="max"/>
        <color rgb="FF92D050"/>
        <color rgb="FFFFEF9C"/>
      </colorScale>
    </cfRule>
    <cfRule type="colorScale" priority="810">
      <colorScale>
        <cfvo type="min"/>
        <cfvo type="max"/>
        <color rgb="FFFF7128"/>
        <color rgb="FFFFEF9C"/>
      </colorScale>
    </cfRule>
  </conditionalFormatting>
  <conditionalFormatting sqref="E42">
    <cfRule type="colorScale" priority="782">
      <colorScale>
        <cfvo type="min"/>
        <cfvo type="max"/>
        <color rgb="FF92D050"/>
        <color rgb="FFFFEF9C"/>
      </colorScale>
    </cfRule>
    <cfRule type="dataBar" priority="781">
      <dataBar>
        <cfvo type="min"/>
        <cfvo type="max"/>
        <color rgb="FF638EC6"/>
      </dataBar>
      <extLst>
        <ext xmlns:x14="http://schemas.microsoft.com/office/spreadsheetml/2009/9/main" uri="{B025F937-C7B1-47D3-B67F-A62EFF666E3E}">
          <x14:id>{D44231CC-05FA-EC46-8622-98CBB588488E}</x14:id>
        </ext>
      </extLst>
    </cfRule>
    <cfRule type="colorScale" priority="783">
      <colorScale>
        <cfvo type="min"/>
        <cfvo type="max"/>
        <color rgb="FFFF7128"/>
        <color rgb="FFFFEF9C"/>
      </colorScale>
    </cfRule>
  </conditionalFormatting>
  <conditionalFormatting sqref="E42:E51">
    <cfRule type="cellIs" dxfId="464" priority="735" operator="equal">
      <formula>"High"</formula>
    </cfRule>
    <cfRule type="cellIs" dxfId="463" priority="745" operator="equal">
      <formula>"Remote"</formula>
    </cfRule>
    <cfRule type="cellIs" dxfId="462" priority="737" operator="equal">
      <formula>"Very Low"</formula>
    </cfRule>
    <cfRule type="cellIs" dxfId="461" priority="739" operator="equal">
      <formula>"Low"</formula>
    </cfRule>
    <cfRule type="cellIs" dxfId="460" priority="740" operator="equal">
      <formula>"Frequent"</formula>
    </cfRule>
    <cfRule type="cellIs" dxfId="459" priority="741" operator="equal">
      <formula>"Frequent$E$21"</formula>
    </cfRule>
    <cfRule type="cellIs" dxfId="458" priority="753" operator="equal">
      <formula>"Low"</formula>
    </cfRule>
    <cfRule type="cellIs" dxfId="457" priority="752" operator="equal">
      <formula>"Medium"</formula>
    </cfRule>
    <cfRule type="cellIs" dxfId="456" priority="751" operator="equal">
      <formula>"Very High"</formula>
    </cfRule>
    <cfRule type="cellIs" dxfId="455" priority="747" operator="equal">
      <formula>"Improbable"</formula>
    </cfRule>
    <cfRule type="cellIs" dxfId="454" priority="746" operator="equal">
      <formula>"Improbable"</formula>
    </cfRule>
    <cfRule type="cellIs" dxfId="453" priority="738" operator="equal">
      <formula>"Ver Low"</formula>
    </cfRule>
    <cfRule type="cellIs" dxfId="452" priority="744" operator="equal">
      <formula>"Remote"</formula>
    </cfRule>
    <cfRule type="cellIs" dxfId="451" priority="743" operator="equal">
      <formula>"Occasional"</formula>
    </cfRule>
    <cfRule type="cellIs" dxfId="450" priority="742" operator="equal">
      <formula>"Probable"</formula>
    </cfRule>
  </conditionalFormatting>
  <conditionalFormatting sqref="E43:E51">
    <cfRule type="dataBar" priority="754">
      <dataBar>
        <cfvo type="min"/>
        <cfvo type="max"/>
        <color rgb="FF638EC6"/>
      </dataBar>
      <extLst>
        <ext xmlns:x14="http://schemas.microsoft.com/office/spreadsheetml/2009/9/main" uri="{B025F937-C7B1-47D3-B67F-A62EFF666E3E}">
          <x14:id>{C27C0754-2897-F147-B329-B62C2C082804}</x14:id>
        </ext>
      </extLst>
    </cfRule>
    <cfRule type="colorScale" priority="755">
      <colorScale>
        <cfvo type="min"/>
        <cfvo type="max"/>
        <color rgb="FF92D050"/>
        <color rgb="FFFFEF9C"/>
      </colorScale>
    </cfRule>
    <cfRule type="colorScale" priority="756">
      <colorScale>
        <cfvo type="min"/>
        <cfvo type="max"/>
        <color rgb="FFFF7128"/>
        <color rgb="FFFFEF9C"/>
      </colorScale>
    </cfRule>
  </conditionalFormatting>
  <conditionalFormatting sqref="E54">
    <cfRule type="colorScale" priority="729">
      <colorScale>
        <cfvo type="min"/>
        <cfvo type="max"/>
        <color rgb="FFFF7128"/>
        <color rgb="FFFFEF9C"/>
      </colorScale>
    </cfRule>
    <cfRule type="dataBar" priority="727">
      <dataBar>
        <cfvo type="min"/>
        <cfvo type="max"/>
        <color rgb="FF638EC6"/>
      </dataBar>
      <extLst>
        <ext xmlns:x14="http://schemas.microsoft.com/office/spreadsheetml/2009/9/main" uri="{B025F937-C7B1-47D3-B67F-A62EFF666E3E}">
          <x14:id>{B7BD20BD-36ED-524C-85E7-7B05E9C3CAE3}</x14:id>
        </ext>
      </extLst>
    </cfRule>
    <cfRule type="colorScale" priority="728">
      <colorScale>
        <cfvo type="min"/>
        <cfvo type="max"/>
        <color rgb="FF92D050"/>
        <color rgb="FFFFEF9C"/>
      </colorScale>
    </cfRule>
  </conditionalFormatting>
  <conditionalFormatting sqref="E54:E63">
    <cfRule type="cellIs" dxfId="449" priority="693" operator="equal">
      <formula>"Improbable"</formula>
    </cfRule>
    <cfRule type="cellIs" dxfId="448" priority="691" operator="equal">
      <formula>"Remote"</formula>
    </cfRule>
    <cfRule type="cellIs" dxfId="447" priority="683" operator="equal">
      <formula>"Very Low"</formula>
    </cfRule>
    <cfRule type="cellIs" dxfId="446" priority="684" operator="equal">
      <formula>"Ver Low"</formula>
    </cfRule>
    <cfRule type="cellIs" dxfId="445" priority="685" operator="equal">
      <formula>"Low"</formula>
    </cfRule>
    <cfRule type="cellIs" dxfId="444" priority="686" operator="equal">
      <formula>"Frequent"</formula>
    </cfRule>
    <cfRule type="cellIs" dxfId="443" priority="699" operator="equal">
      <formula>"Low"</formula>
    </cfRule>
    <cfRule type="cellIs" dxfId="442" priority="698" operator="equal">
      <formula>"Medium"</formula>
    </cfRule>
    <cfRule type="cellIs" dxfId="441" priority="697" operator="equal">
      <formula>"Very High"</formula>
    </cfRule>
    <cfRule type="cellIs" dxfId="440" priority="687" operator="equal">
      <formula>"Frequent$E$21"</formula>
    </cfRule>
    <cfRule type="cellIs" dxfId="439" priority="692" operator="equal">
      <formula>"Improbable"</formula>
    </cfRule>
    <cfRule type="cellIs" dxfId="438" priority="681" operator="equal">
      <formula>"High"</formula>
    </cfRule>
    <cfRule type="cellIs" dxfId="437" priority="690" operator="equal">
      <formula>"Remote"</formula>
    </cfRule>
    <cfRule type="cellIs" dxfId="436" priority="689" operator="equal">
      <formula>"Occasional"</formula>
    </cfRule>
    <cfRule type="cellIs" dxfId="435" priority="688" operator="equal">
      <formula>"Probable"</formula>
    </cfRule>
  </conditionalFormatting>
  <conditionalFormatting sqref="E55:E63">
    <cfRule type="dataBar" priority="700">
      <dataBar>
        <cfvo type="min"/>
        <cfvo type="max"/>
        <color rgb="FF638EC6"/>
      </dataBar>
      <extLst>
        <ext xmlns:x14="http://schemas.microsoft.com/office/spreadsheetml/2009/9/main" uri="{B025F937-C7B1-47D3-B67F-A62EFF666E3E}">
          <x14:id>{B36466AE-5B55-1340-8E04-789E3B0A32D6}</x14:id>
        </ext>
      </extLst>
    </cfRule>
    <cfRule type="colorScale" priority="701">
      <colorScale>
        <cfvo type="min"/>
        <cfvo type="max"/>
        <color rgb="FF92D050"/>
        <color rgb="FFFFEF9C"/>
      </colorScale>
    </cfRule>
    <cfRule type="colorScale" priority="702">
      <colorScale>
        <cfvo type="min"/>
        <cfvo type="max"/>
        <color rgb="FFFF7128"/>
        <color rgb="FFFFEF9C"/>
      </colorScale>
    </cfRule>
  </conditionalFormatting>
  <conditionalFormatting sqref="E66">
    <cfRule type="colorScale" priority="674">
      <colorScale>
        <cfvo type="min"/>
        <cfvo type="max"/>
        <color rgb="FF92D050"/>
        <color rgb="FFFFEF9C"/>
      </colorScale>
    </cfRule>
    <cfRule type="dataBar" priority="673">
      <dataBar>
        <cfvo type="min"/>
        <cfvo type="max"/>
        <color rgb="FF638EC6"/>
      </dataBar>
      <extLst>
        <ext xmlns:x14="http://schemas.microsoft.com/office/spreadsheetml/2009/9/main" uri="{B025F937-C7B1-47D3-B67F-A62EFF666E3E}">
          <x14:id>{3680A951-7CB3-424F-8C85-E7D0863C5E7D}</x14:id>
        </ext>
      </extLst>
    </cfRule>
    <cfRule type="colorScale" priority="675">
      <colorScale>
        <cfvo type="min"/>
        <cfvo type="max"/>
        <color rgb="FFFF7128"/>
        <color rgb="FFFFEF9C"/>
      </colorScale>
    </cfRule>
  </conditionalFormatting>
  <conditionalFormatting sqref="E66:E75">
    <cfRule type="cellIs" dxfId="434" priority="639" operator="equal">
      <formula>"Improbable"</formula>
    </cfRule>
    <cfRule type="cellIs" dxfId="433" priority="637" operator="equal">
      <formula>"Remote"</formula>
    </cfRule>
    <cfRule type="cellIs" dxfId="432" priority="629" operator="equal">
      <formula>"Very Low"</formula>
    </cfRule>
    <cfRule type="cellIs" dxfId="431" priority="630" operator="equal">
      <formula>"Ver Low"</formula>
    </cfRule>
    <cfRule type="cellIs" dxfId="430" priority="631" operator="equal">
      <formula>"Low"</formula>
    </cfRule>
    <cfRule type="cellIs" dxfId="429" priority="632" operator="equal">
      <formula>"Frequent"</formula>
    </cfRule>
    <cfRule type="cellIs" dxfId="428" priority="645" operator="equal">
      <formula>"Low"</formula>
    </cfRule>
    <cfRule type="cellIs" dxfId="427" priority="644" operator="equal">
      <formula>"Medium"</formula>
    </cfRule>
    <cfRule type="cellIs" dxfId="426" priority="643" operator="equal">
      <formula>"Very High"</formula>
    </cfRule>
    <cfRule type="cellIs" dxfId="425" priority="633" operator="equal">
      <formula>"Frequent$E$21"</formula>
    </cfRule>
    <cfRule type="cellIs" dxfId="424" priority="638" operator="equal">
      <formula>"Improbable"</formula>
    </cfRule>
    <cfRule type="cellIs" dxfId="423" priority="627" operator="equal">
      <formula>"High"</formula>
    </cfRule>
    <cfRule type="cellIs" dxfId="422" priority="636" operator="equal">
      <formula>"Remote"</formula>
    </cfRule>
    <cfRule type="cellIs" dxfId="421" priority="635" operator="equal">
      <formula>"Occasional"</formula>
    </cfRule>
    <cfRule type="cellIs" dxfId="420" priority="634" operator="equal">
      <formula>"Probable"</formula>
    </cfRule>
  </conditionalFormatting>
  <conditionalFormatting sqref="E67:E75">
    <cfRule type="dataBar" priority="646">
      <dataBar>
        <cfvo type="min"/>
        <cfvo type="max"/>
        <color rgb="FF638EC6"/>
      </dataBar>
      <extLst>
        <ext xmlns:x14="http://schemas.microsoft.com/office/spreadsheetml/2009/9/main" uri="{B025F937-C7B1-47D3-B67F-A62EFF666E3E}">
          <x14:id>{0EEC11B4-DD98-2C4A-9C75-408127E9F106}</x14:id>
        </ext>
      </extLst>
    </cfRule>
    <cfRule type="colorScale" priority="647">
      <colorScale>
        <cfvo type="min"/>
        <cfvo type="max"/>
        <color rgb="FF92D050"/>
        <color rgb="FFFFEF9C"/>
      </colorScale>
    </cfRule>
    <cfRule type="colorScale" priority="648">
      <colorScale>
        <cfvo type="min"/>
        <cfvo type="max"/>
        <color rgb="FFFF7128"/>
        <color rgb="FFFFEF9C"/>
      </colorScale>
    </cfRule>
  </conditionalFormatting>
  <conditionalFormatting sqref="E78">
    <cfRule type="colorScale" priority="621">
      <colorScale>
        <cfvo type="min"/>
        <cfvo type="max"/>
        <color rgb="FFFF7128"/>
        <color rgb="FFFFEF9C"/>
      </colorScale>
    </cfRule>
    <cfRule type="dataBar" priority="619">
      <dataBar>
        <cfvo type="min"/>
        <cfvo type="max"/>
        <color rgb="FF638EC6"/>
      </dataBar>
      <extLst>
        <ext xmlns:x14="http://schemas.microsoft.com/office/spreadsheetml/2009/9/main" uri="{B025F937-C7B1-47D3-B67F-A62EFF666E3E}">
          <x14:id>{B3DB306D-B6FF-EE4A-9922-30DD411ACD3D}</x14:id>
        </ext>
      </extLst>
    </cfRule>
    <cfRule type="colorScale" priority="620">
      <colorScale>
        <cfvo type="min"/>
        <cfvo type="max"/>
        <color rgb="FF92D050"/>
        <color rgb="FFFFEF9C"/>
      </colorScale>
    </cfRule>
  </conditionalFormatting>
  <conditionalFormatting sqref="E78:E87">
    <cfRule type="cellIs" dxfId="419" priority="589" operator="equal">
      <formula>"Very High"</formula>
    </cfRule>
    <cfRule type="cellIs" dxfId="418" priority="575" operator="equal">
      <formula>"Very Low"</formula>
    </cfRule>
    <cfRule type="cellIs" dxfId="417" priority="573" operator="equal">
      <formula>"High"</formula>
    </cfRule>
    <cfRule type="cellIs" dxfId="416" priority="577" operator="equal">
      <formula>"Low"</formula>
    </cfRule>
    <cfRule type="cellIs" dxfId="415" priority="578" operator="equal">
      <formula>"Frequent"</formula>
    </cfRule>
    <cfRule type="cellIs" dxfId="414" priority="579" operator="equal">
      <formula>"Frequent$E$21"</formula>
    </cfRule>
    <cfRule type="cellIs" dxfId="413" priority="591" operator="equal">
      <formula>"Low"</formula>
    </cfRule>
    <cfRule type="cellIs" dxfId="412" priority="590" operator="equal">
      <formula>"Medium"</formula>
    </cfRule>
    <cfRule type="cellIs" dxfId="411" priority="576" operator="equal">
      <formula>"Ver Low"</formula>
    </cfRule>
    <cfRule type="cellIs" dxfId="410" priority="585" operator="equal">
      <formula>"Improbable"</formula>
    </cfRule>
    <cfRule type="cellIs" dxfId="409" priority="584" operator="equal">
      <formula>"Improbable"</formula>
    </cfRule>
    <cfRule type="cellIs" dxfId="408" priority="583" operator="equal">
      <formula>"Remote"</formula>
    </cfRule>
    <cfRule type="cellIs" dxfId="407" priority="582" operator="equal">
      <formula>"Remote"</formula>
    </cfRule>
    <cfRule type="cellIs" dxfId="406" priority="581" operator="equal">
      <formula>"Occasional"</formula>
    </cfRule>
    <cfRule type="cellIs" dxfId="405" priority="580" operator="equal">
      <formula>"Probable"</formula>
    </cfRule>
  </conditionalFormatting>
  <conditionalFormatting sqref="E79:E87">
    <cfRule type="dataBar" priority="592">
      <dataBar>
        <cfvo type="min"/>
        <cfvo type="max"/>
        <color rgb="FF638EC6"/>
      </dataBar>
      <extLst>
        <ext xmlns:x14="http://schemas.microsoft.com/office/spreadsheetml/2009/9/main" uri="{B025F937-C7B1-47D3-B67F-A62EFF666E3E}">
          <x14:id>{423ABDEF-6A29-3945-B6E0-76115A2D0B00}</x14:id>
        </ext>
      </extLst>
    </cfRule>
    <cfRule type="colorScale" priority="593">
      <colorScale>
        <cfvo type="min"/>
        <cfvo type="max"/>
        <color rgb="FF92D050"/>
        <color rgb="FFFFEF9C"/>
      </colorScale>
    </cfRule>
    <cfRule type="colorScale" priority="594">
      <colorScale>
        <cfvo type="min"/>
        <cfvo type="max"/>
        <color rgb="FFFF7128"/>
        <color rgb="FFFFEF9C"/>
      </colorScale>
    </cfRule>
  </conditionalFormatting>
  <conditionalFormatting sqref="E90">
    <cfRule type="colorScale" priority="944">
      <colorScale>
        <cfvo type="min"/>
        <cfvo type="max"/>
        <color rgb="FF92D050"/>
        <color rgb="FFFFEF9C"/>
      </colorScale>
    </cfRule>
    <cfRule type="dataBar" priority="943">
      <dataBar>
        <cfvo type="min"/>
        <cfvo type="max"/>
        <color rgb="FF638EC6"/>
      </dataBar>
      <extLst>
        <ext xmlns:x14="http://schemas.microsoft.com/office/spreadsheetml/2009/9/main" uri="{B025F937-C7B1-47D3-B67F-A62EFF666E3E}">
          <x14:id>{601A2291-16D3-6342-82FF-53EF8870EF14}</x14:id>
        </ext>
      </extLst>
    </cfRule>
    <cfRule type="colorScale" priority="945">
      <colorScale>
        <cfvo type="min"/>
        <cfvo type="max"/>
        <color rgb="FFFF7128"/>
        <color rgb="FFFFEF9C"/>
      </colorScale>
    </cfRule>
  </conditionalFormatting>
  <conditionalFormatting sqref="E90:E99">
    <cfRule type="cellIs" dxfId="404" priority="546" operator="equal">
      <formula>"High"</formula>
    </cfRule>
    <cfRule type="cellIs" dxfId="403" priority="564" operator="equal">
      <formula>"Low"</formula>
    </cfRule>
    <cfRule type="cellIs" dxfId="402" priority="563" operator="equal">
      <formula>"Medium"</formula>
    </cfRule>
    <cfRule type="cellIs" dxfId="401" priority="562" operator="equal">
      <formula>"Very High"</formula>
    </cfRule>
    <cfRule type="cellIs" dxfId="400" priority="558" operator="equal">
      <formula>"Improbable"</formula>
    </cfRule>
    <cfRule type="cellIs" dxfId="399" priority="557" operator="equal">
      <formula>"Improbable"</formula>
    </cfRule>
    <cfRule type="cellIs" dxfId="398" priority="556" operator="equal">
      <formula>"Remote"</formula>
    </cfRule>
    <cfRule type="cellIs" dxfId="397" priority="555" operator="equal">
      <formula>"Remote"</formula>
    </cfRule>
    <cfRule type="cellIs" dxfId="396" priority="554" operator="equal">
      <formula>"Occasional"</formula>
    </cfRule>
    <cfRule type="cellIs" dxfId="395" priority="553" operator="equal">
      <formula>"Probable"</formula>
    </cfRule>
    <cfRule type="cellIs" dxfId="394" priority="548" operator="equal">
      <formula>"Very Low"</formula>
    </cfRule>
    <cfRule type="cellIs" dxfId="393" priority="549" operator="equal">
      <formula>"Ver Low"</formula>
    </cfRule>
    <cfRule type="cellIs" dxfId="392" priority="552" operator="equal">
      <formula>"Frequent$E$21"</formula>
    </cfRule>
    <cfRule type="cellIs" dxfId="391" priority="551" operator="equal">
      <formula>"Frequent"</formula>
    </cfRule>
    <cfRule type="cellIs" dxfId="390" priority="550" operator="equal">
      <formula>"Low"</formula>
    </cfRule>
  </conditionalFormatting>
  <conditionalFormatting sqref="E91:E99">
    <cfRule type="dataBar" priority="565">
      <dataBar>
        <cfvo type="min"/>
        <cfvo type="max"/>
        <color rgb="FF638EC6"/>
      </dataBar>
      <extLst>
        <ext xmlns:x14="http://schemas.microsoft.com/office/spreadsheetml/2009/9/main" uri="{B025F937-C7B1-47D3-B67F-A62EFF666E3E}">
          <x14:id>{A4B53193-2AB3-8F46-85B8-09636E6FAF5C}</x14:id>
        </ext>
      </extLst>
    </cfRule>
    <cfRule type="colorScale" priority="566">
      <colorScale>
        <cfvo type="min"/>
        <cfvo type="max"/>
        <color rgb="FF92D050"/>
        <color rgb="FFFFEF9C"/>
      </colorScale>
    </cfRule>
    <cfRule type="colorScale" priority="567">
      <colorScale>
        <cfvo type="min"/>
        <cfvo type="max"/>
        <color rgb="FFFF7128"/>
        <color rgb="FFFFEF9C"/>
      </colorScale>
    </cfRule>
  </conditionalFormatting>
  <conditionalFormatting sqref="E102">
    <cfRule type="colorScale" priority="540">
      <colorScale>
        <cfvo type="min"/>
        <cfvo type="max"/>
        <color rgb="FFFF7128"/>
        <color rgb="FFFFEF9C"/>
      </colorScale>
    </cfRule>
    <cfRule type="colorScale" priority="539">
      <colorScale>
        <cfvo type="min"/>
        <cfvo type="max"/>
        <color rgb="FF92D050"/>
        <color rgb="FFFFEF9C"/>
      </colorScale>
    </cfRule>
    <cfRule type="dataBar" priority="538">
      <dataBar>
        <cfvo type="min"/>
        <cfvo type="max"/>
        <color rgb="FF638EC6"/>
      </dataBar>
      <extLst>
        <ext xmlns:x14="http://schemas.microsoft.com/office/spreadsheetml/2009/9/main" uri="{B025F937-C7B1-47D3-B67F-A62EFF666E3E}">
          <x14:id>{3A22B39E-BA6C-D84F-98D3-5D741F59B77B}</x14:id>
        </ext>
      </extLst>
    </cfRule>
  </conditionalFormatting>
  <conditionalFormatting sqref="E102:E111">
    <cfRule type="cellIs" dxfId="389" priority="510" operator="equal">
      <formula>"Low"</formula>
    </cfRule>
    <cfRule type="cellIs" dxfId="388" priority="509" operator="equal">
      <formula>"Medium"</formula>
    </cfRule>
    <cfRule type="cellIs" dxfId="387" priority="508" operator="equal">
      <formula>"Very High"</formula>
    </cfRule>
    <cfRule type="cellIs" dxfId="386" priority="504" operator="equal">
      <formula>"Improbable"</formula>
    </cfRule>
    <cfRule type="cellIs" dxfId="385" priority="503" operator="equal">
      <formula>"Improbable"</formula>
    </cfRule>
    <cfRule type="cellIs" dxfId="384" priority="502" operator="equal">
      <formula>"Remote"</formula>
    </cfRule>
    <cfRule type="cellIs" dxfId="383" priority="501" operator="equal">
      <formula>"Remote"</formula>
    </cfRule>
    <cfRule type="cellIs" dxfId="382" priority="500" operator="equal">
      <formula>"Occasional"</formula>
    </cfRule>
    <cfRule type="cellIs" dxfId="381" priority="499" operator="equal">
      <formula>"Probable"</formula>
    </cfRule>
    <cfRule type="cellIs" dxfId="380" priority="498" operator="equal">
      <formula>"Frequent$E$21"</formula>
    </cfRule>
    <cfRule type="cellIs" dxfId="379" priority="497" operator="equal">
      <formula>"Frequent"</formula>
    </cfRule>
    <cfRule type="cellIs" dxfId="378" priority="496" operator="equal">
      <formula>"Low"</formula>
    </cfRule>
    <cfRule type="cellIs" dxfId="377" priority="495" operator="equal">
      <formula>"Ver Low"</formula>
    </cfRule>
    <cfRule type="cellIs" dxfId="376" priority="494" operator="equal">
      <formula>"Very Low"</formula>
    </cfRule>
    <cfRule type="cellIs" dxfId="375" priority="492" operator="equal">
      <formula>"High"</formula>
    </cfRule>
  </conditionalFormatting>
  <conditionalFormatting sqref="E103:E111">
    <cfRule type="colorScale" priority="512">
      <colorScale>
        <cfvo type="min"/>
        <cfvo type="max"/>
        <color rgb="FF92D050"/>
        <color rgb="FFFFEF9C"/>
      </colorScale>
    </cfRule>
    <cfRule type="colorScale" priority="513">
      <colorScale>
        <cfvo type="min"/>
        <cfvo type="max"/>
        <color rgb="FFFF7128"/>
        <color rgb="FFFFEF9C"/>
      </colorScale>
    </cfRule>
    <cfRule type="dataBar" priority="511">
      <dataBar>
        <cfvo type="min"/>
        <cfvo type="max"/>
        <color rgb="FF638EC6"/>
      </dataBar>
      <extLst>
        <ext xmlns:x14="http://schemas.microsoft.com/office/spreadsheetml/2009/9/main" uri="{B025F937-C7B1-47D3-B67F-A62EFF666E3E}">
          <x14:id>{FF813B11-5921-4348-8EE8-444B5525F6C2}</x14:id>
        </ext>
      </extLst>
    </cfRule>
  </conditionalFormatting>
  <conditionalFormatting sqref="E114">
    <cfRule type="dataBar" priority="484">
      <dataBar>
        <cfvo type="min"/>
        <cfvo type="max"/>
        <color rgb="FF638EC6"/>
      </dataBar>
      <extLst>
        <ext xmlns:x14="http://schemas.microsoft.com/office/spreadsheetml/2009/9/main" uri="{B025F937-C7B1-47D3-B67F-A62EFF666E3E}">
          <x14:id>{17653025-902A-3343-BEE8-EC9E4EFC4B36}</x14:id>
        </ext>
      </extLst>
    </cfRule>
    <cfRule type="colorScale" priority="485">
      <colorScale>
        <cfvo type="min"/>
        <cfvo type="max"/>
        <color rgb="FF92D050"/>
        <color rgb="FFFFEF9C"/>
      </colorScale>
    </cfRule>
    <cfRule type="colorScale" priority="486">
      <colorScale>
        <cfvo type="min"/>
        <cfvo type="max"/>
        <color rgb="FFFF7128"/>
        <color rgb="FFFFEF9C"/>
      </colorScale>
    </cfRule>
  </conditionalFormatting>
  <conditionalFormatting sqref="E114:E123">
    <cfRule type="cellIs" dxfId="374" priority="454" operator="equal">
      <formula>"Very High"</formula>
    </cfRule>
    <cfRule type="cellIs" dxfId="373" priority="448" operator="equal">
      <formula>"Remote"</formula>
    </cfRule>
    <cfRule type="cellIs" dxfId="372" priority="442" operator="equal">
      <formula>"Low"</formula>
    </cfRule>
    <cfRule type="cellIs" dxfId="371" priority="438" operator="equal">
      <formula>"High"</formula>
    </cfRule>
    <cfRule type="cellIs" dxfId="370" priority="443" operator="equal">
      <formula>"Frequent"</formula>
    </cfRule>
    <cfRule type="cellIs" dxfId="369" priority="444" operator="equal">
      <formula>"Frequent$E$21"</formula>
    </cfRule>
    <cfRule type="cellIs" dxfId="368" priority="445" operator="equal">
      <formula>"Probable"</formula>
    </cfRule>
    <cfRule type="cellIs" dxfId="367" priority="456" operator="equal">
      <formula>"Low"</formula>
    </cfRule>
    <cfRule type="cellIs" dxfId="366" priority="455" operator="equal">
      <formula>"Medium"</formula>
    </cfRule>
    <cfRule type="cellIs" dxfId="365" priority="440" operator="equal">
      <formula>"Very Low"</formula>
    </cfRule>
    <cfRule type="cellIs" dxfId="364" priority="450" operator="equal">
      <formula>"Improbable"</formula>
    </cfRule>
    <cfRule type="cellIs" dxfId="363" priority="449" operator="equal">
      <formula>"Improbable"</formula>
    </cfRule>
    <cfRule type="cellIs" dxfId="362" priority="441" operator="equal">
      <formula>"Ver Low"</formula>
    </cfRule>
    <cfRule type="cellIs" dxfId="361" priority="447" operator="equal">
      <formula>"Remote"</formula>
    </cfRule>
    <cfRule type="cellIs" dxfId="360" priority="446" operator="equal">
      <formula>"Occasional"</formula>
    </cfRule>
  </conditionalFormatting>
  <conditionalFormatting sqref="E115:E123">
    <cfRule type="dataBar" priority="457">
      <dataBar>
        <cfvo type="min"/>
        <cfvo type="max"/>
        <color rgb="FF638EC6"/>
      </dataBar>
      <extLst>
        <ext xmlns:x14="http://schemas.microsoft.com/office/spreadsheetml/2009/9/main" uri="{B025F937-C7B1-47D3-B67F-A62EFF666E3E}">
          <x14:id>{466566BD-1972-2346-867C-D4C5C5723EA1}</x14:id>
        </ext>
      </extLst>
    </cfRule>
    <cfRule type="colorScale" priority="458">
      <colorScale>
        <cfvo type="min"/>
        <cfvo type="max"/>
        <color rgb="FF92D050"/>
        <color rgb="FFFFEF9C"/>
      </colorScale>
    </cfRule>
    <cfRule type="colorScale" priority="459">
      <colorScale>
        <cfvo type="min"/>
        <cfvo type="max"/>
        <color rgb="FFFF7128"/>
        <color rgb="FFFFEF9C"/>
      </colorScale>
    </cfRule>
  </conditionalFormatting>
  <conditionalFormatting sqref="E6:F15">
    <cfRule type="cellIs" dxfId="359" priority="1424" operator="equal">
      <formula>"Low"</formula>
    </cfRule>
  </conditionalFormatting>
  <conditionalFormatting sqref="E18:F27">
    <cfRule type="cellIs" dxfId="358" priority="844" operator="equal">
      <formula>"Low"</formula>
    </cfRule>
  </conditionalFormatting>
  <conditionalFormatting sqref="E30:F39">
    <cfRule type="cellIs" dxfId="357" priority="790" operator="equal">
      <formula>"Low"</formula>
    </cfRule>
  </conditionalFormatting>
  <conditionalFormatting sqref="E42:F51">
    <cfRule type="cellIs" dxfId="356" priority="736" operator="equal">
      <formula>"Low"</formula>
    </cfRule>
  </conditionalFormatting>
  <conditionalFormatting sqref="E54:F63">
    <cfRule type="cellIs" dxfId="355" priority="682" operator="equal">
      <formula>"Low"</formula>
    </cfRule>
  </conditionalFormatting>
  <conditionalFormatting sqref="E66:F75">
    <cfRule type="cellIs" dxfId="354" priority="628" operator="equal">
      <formula>"Low"</formula>
    </cfRule>
  </conditionalFormatting>
  <conditionalFormatting sqref="E78:F87">
    <cfRule type="cellIs" dxfId="353" priority="574" operator="equal">
      <formula>"Low"</formula>
    </cfRule>
  </conditionalFormatting>
  <conditionalFormatting sqref="E90:F99">
    <cfRule type="cellIs" dxfId="352" priority="547" operator="equal">
      <formula>"Low"</formula>
    </cfRule>
  </conditionalFormatting>
  <conditionalFormatting sqref="E102:F111">
    <cfRule type="cellIs" dxfId="351" priority="493" operator="equal">
      <formula>"Low"</formula>
    </cfRule>
  </conditionalFormatting>
  <conditionalFormatting sqref="E114:F123">
    <cfRule type="cellIs" dxfId="350" priority="439" operator="equal">
      <formula>"Low"</formula>
    </cfRule>
  </conditionalFormatting>
  <conditionalFormatting sqref="F6:F15">
    <cfRule type="cellIs" dxfId="349" priority="1417" operator="equal">
      <formula>"Lower"</formula>
    </cfRule>
    <cfRule type="cellIs" dxfId="348" priority="1469" operator="equal">
      <formula>"Critical"</formula>
    </cfRule>
    <cfRule type="cellIs" dxfId="347" priority="1418" operator="equal">
      <formula>"Negligible"</formula>
    </cfRule>
    <cfRule type="cellIs" dxfId="346" priority="1416" operator="equal">
      <formula>"Moderate"</formula>
    </cfRule>
    <cfRule type="cellIs" dxfId="345" priority="1471" operator="equal">
      <formula>"Negligible"</formula>
    </cfRule>
    <cfRule type="cellIs" dxfId="344" priority="1470" operator="equal">
      <formula>"Marginal"</formula>
    </cfRule>
    <cfRule type="cellIs" dxfId="343" priority="1414" operator="equal">
      <formula>"Catastrophic"</formula>
    </cfRule>
    <cfRule type="cellIs" dxfId="342" priority="1415" operator="equal">
      <formula>"Significant"</formula>
    </cfRule>
  </conditionalFormatting>
  <conditionalFormatting sqref="F18:F27">
    <cfRule type="cellIs" dxfId="341" priority="842" operator="equal">
      <formula>"Negligible"</formula>
    </cfRule>
    <cfRule type="cellIs" dxfId="340" priority="841" operator="equal">
      <formula>"Lower"</formula>
    </cfRule>
    <cfRule type="cellIs" dxfId="339" priority="840" operator="equal">
      <formula>"Moderate"</formula>
    </cfRule>
    <cfRule type="cellIs" dxfId="338" priority="838" operator="equal">
      <formula>"Catastrophic"</formula>
    </cfRule>
    <cfRule type="cellIs" dxfId="337" priority="839" operator="equal">
      <formula>"Significant"</formula>
    </cfRule>
    <cfRule type="cellIs" dxfId="336" priority="858" operator="equal">
      <formula>"Negligible"</formula>
    </cfRule>
    <cfRule type="cellIs" dxfId="335" priority="857" operator="equal">
      <formula>"Marginal"</formula>
    </cfRule>
    <cfRule type="cellIs" dxfId="334" priority="856" operator="equal">
      <formula>"Critical"</formula>
    </cfRule>
  </conditionalFormatting>
  <conditionalFormatting sqref="F30:F39">
    <cfRule type="cellIs" dxfId="333" priority="786" operator="equal">
      <formula>"Moderate"</formula>
    </cfRule>
    <cfRule type="cellIs" dxfId="332" priority="785" operator="equal">
      <formula>"Significant"</formula>
    </cfRule>
    <cfRule type="cellIs" dxfId="331" priority="804" operator="equal">
      <formula>"Negligible"</formula>
    </cfRule>
    <cfRule type="cellIs" dxfId="330" priority="802" operator="equal">
      <formula>"Critical"</formula>
    </cfRule>
    <cfRule type="cellIs" dxfId="329" priority="788" operator="equal">
      <formula>"Negligible"</formula>
    </cfRule>
    <cfRule type="cellIs" dxfId="328" priority="787" operator="equal">
      <formula>"Lower"</formula>
    </cfRule>
    <cfRule type="cellIs" dxfId="327" priority="784" operator="equal">
      <formula>"Catastrophic"</formula>
    </cfRule>
    <cfRule type="cellIs" dxfId="326" priority="803" operator="equal">
      <formula>"Marginal"</formula>
    </cfRule>
  </conditionalFormatting>
  <conditionalFormatting sqref="F42:F51">
    <cfRule type="cellIs" dxfId="325" priority="750" operator="equal">
      <formula>"Negligible"</formula>
    </cfRule>
    <cfRule type="cellIs" dxfId="324" priority="732" operator="equal">
      <formula>"Moderate"</formula>
    </cfRule>
    <cfRule type="cellIs" dxfId="323" priority="731" operator="equal">
      <formula>"Significant"</formula>
    </cfRule>
    <cfRule type="cellIs" dxfId="322" priority="749" operator="equal">
      <formula>"Marginal"</formula>
    </cfRule>
    <cfRule type="cellIs" dxfId="321" priority="734" operator="equal">
      <formula>"Negligible"</formula>
    </cfRule>
    <cfRule type="cellIs" dxfId="320" priority="733" operator="equal">
      <formula>"Lower"</formula>
    </cfRule>
    <cfRule type="cellIs" dxfId="319" priority="748" operator="equal">
      <formula>"Critical"</formula>
    </cfRule>
    <cfRule type="cellIs" dxfId="318" priority="730" operator="equal">
      <formula>"Catastrophic"</formula>
    </cfRule>
  </conditionalFormatting>
  <conditionalFormatting sqref="F54:F63">
    <cfRule type="cellIs" dxfId="317" priority="679" operator="equal">
      <formula>"Lower"</formula>
    </cfRule>
    <cfRule type="cellIs" dxfId="316" priority="678" operator="equal">
      <formula>"Moderate"</formula>
    </cfRule>
    <cfRule type="cellIs" dxfId="315" priority="696" operator="equal">
      <formula>"Negligible"</formula>
    </cfRule>
    <cfRule type="cellIs" dxfId="314" priority="695" operator="equal">
      <formula>"Marginal"</formula>
    </cfRule>
    <cfRule type="cellIs" dxfId="313" priority="694" operator="equal">
      <formula>"Critical"</formula>
    </cfRule>
    <cfRule type="cellIs" dxfId="312" priority="677" operator="equal">
      <formula>"Significant"</formula>
    </cfRule>
    <cfRule type="cellIs" dxfId="311" priority="676" operator="equal">
      <formula>"Catastrophic"</formula>
    </cfRule>
    <cfRule type="cellIs" dxfId="310" priority="680" operator="equal">
      <formula>"Negligible"</formula>
    </cfRule>
  </conditionalFormatting>
  <conditionalFormatting sqref="F66:F75">
    <cfRule type="cellIs" dxfId="309" priority="622" operator="equal">
      <formula>"Catastrophic"</formula>
    </cfRule>
    <cfRule type="cellIs" dxfId="308" priority="641" operator="equal">
      <formula>"Marginal"</formula>
    </cfRule>
    <cfRule type="cellIs" dxfId="307" priority="624" operator="equal">
      <formula>"Moderate"</formula>
    </cfRule>
    <cfRule type="cellIs" dxfId="306" priority="625" operator="equal">
      <formula>"Lower"</formula>
    </cfRule>
    <cfRule type="cellIs" dxfId="305" priority="626" operator="equal">
      <formula>"Negligible"</formula>
    </cfRule>
    <cfRule type="cellIs" dxfId="304" priority="640" operator="equal">
      <formula>"Critical"</formula>
    </cfRule>
    <cfRule type="cellIs" dxfId="303" priority="642" operator="equal">
      <formula>"Negligible"</formula>
    </cfRule>
    <cfRule type="cellIs" dxfId="302" priority="623" operator="equal">
      <formula>"Significant"</formula>
    </cfRule>
  </conditionalFormatting>
  <conditionalFormatting sqref="F78:F87">
    <cfRule type="cellIs" dxfId="301" priority="571" operator="equal">
      <formula>"Lower"</formula>
    </cfRule>
    <cfRule type="cellIs" dxfId="300" priority="572" operator="equal">
      <formula>"Negligible"</formula>
    </cfRule>
    <cfRule type="cellIs" dxfId="299" priority="570" operator="equal">
      <formula>"Moderate"</formula>
    </cfRule>
    <cfRule type="cellIs" dxfId="298" priority="569" operator="equal">
      <formula>"Significant"</formula>
    </cfRule>
    <cfRule type="cellIs" dxfId="297" priority="568" operator="equal">
      <formula>"Catastrophic"</formula>
    </cfRule>
    <cfRule type="cellIs" dxfId="296" priority="586" operator="equal">
      <formula>"Critical"</formula>
    </cfRule>
    <cfRule type="cellIs" dxfId="295" priority="588" operator="equal">
      <formula>"Negligible"</formula>
    </cfRule>
    <cfRule type="cellIs" dxfId="294" priority="587" operator="equal">
      <formula>"Marginal"</formula>
    </cfRule>
  </conditionalFormatting>
  <conditionalFormatting sqref="F90:F99">
    <cfRule type="cellIs" dxfId="293" priority="544" operator="equal">
      <formula>"Lower"</formula>
    </cfRule>
    <cfRule type="cellIs" dxfId="292" priority="559" operator="equal">
      <formula>"Critical"</formula>
    </cfRule>
    <cfRule type="cellIs" dxfId="291" priority="561" operator="equal">
      <formula>"Negligible"</formula>
    </cfRule>
    <cfRule type="cellIs" dxfId="290" priority="541" operator="equal">
      <formula>"Catastrophic"</formula>
    </cfRule>
    <cfRule type="cellIs" dxfId="289" priority="542" operator="equal">
      <formula>"Significant"</formula>
    </cfRule>
    <cfRule type="cellIs" dxfId="288" priority="543" operator="equal">
      <formula>"Moderate"</formula>
    </cfRule>
    <cfRule type="cellIs" dxfId="287" priority="560" operator="equal">
      <formula>"Marginal"</formula>
    </cfRule>
    <cfRule type="cellIs" dxfId="286" priority="545" operator="equal">
      <formula>"Negligible"</formula>
    </cfRule>
  </conditionalFormatting>
  <conditionalFormatting sqref="F102:F111">
    <cfRule type="cellIs" dxfId="285" priority="506" operator="equal">
      <formula>"Marginal"</formula>
    </cfRule>
    <cfRule type="cellIs" dxfId="284" priority="505" operator="equal">
      <formula>"Critical"</formula>
    </cfRule>
    <cfRule type="cellIs" dxfId="283" priority="507" operator="equal">
      <formula>"Negligible"</formula>
    </cfRule>
    <cfRule type="cellIs" dxfId="282" priority="491" operator="equal">
      <formula>"Negligible"</formula>
    </cfRule>
    <cfRule type="cellIs" dxfId="281" priority="490" operator="equal">
      <formula>"Lower"</formula>
    </cfRule>
    <cfRule type="cellIs" dxfId="280" priority="489" operator="equal">
      <formula>"Moderate"</formula>
    </cfRule>
    <cfRule type="cellIs" dxfId="279" priority="488" operator="equal">
      <formula>"Significant"</formula>
    </cfRule>
    <cfRule type="cellIs" dxfId="278" priority="487" operator="equal">
      <formula>"Catastrophic"</formula>
    </cfRule>
  </conditionalFormatting>
  <conditionalFormatting sqref="F114:F123">
    <cfRule type="cellIs" dxfId="277" priority="453" operator="equal">
      <formula>"Negligible"</formula>
    </cfRule>
    <cfRule type="cellIs" dxfId="276" priority="433" operator="equal">
      <formula>"Catastrophic"</formula>
    </cfRule>
    <cfRule type="cellIs" dxfId="275" priority="434" operator="equal">
      <formula>"Significant"</formula>
    </cfRule>
    <cfRule type="cellIs" dxfId="274" priority="435" operator="equal">
      <formula>"Moderate"</formula>
    </cfRule>
    <cfRule type="cellIs" dxfId="273" priority="436" operator="equal">
      <formula>"Lower"</formula>
    </cfRule>
    <cfRule type="cellIs" dxfId="272" priority="437" operator="equal">
      <formula>"Negligible"</formula>
    </cfRule>
    <cfRule type="cellIs" dxfId="271" priority="451" operator="equal">
      <formula>"Critical"</formula>
    </cfRule>
    <cfRule type="cellIs" dxfId="270" priority="452" operator="equal">
      <formula>"Marginal"</formula>
    </cfRule>
  </conditionalFormatting>
  <conditionalFormatting sqref="S6:S15">
    <cfRule type="cellIs" dxfId="269" priority="1382" operator="equal">
      <formula>"Medium"</formula>
    </cfRule>
    <cfRule type="cellIs" dxfId="268" priority="1381" operator="equal">
      <formula>"Very High"</formula>
    </cfRule>
    <cfRule type="cellIs" dxfId="267" priority="1371" operator="equal">
      <formula>"Frequent$E$21"</formula>
    </cfRule>
    <cfRule type="cellIs" dxfId="266" priority="1372" operator="equal">
      <formula>"Probable"</formula>
    </cfRule>
    <cfRule type="cellIs" dxfId="265" priority="1383" operator="equal">
      <formula>"Low"</formula>
    </cfRule>
    <cfRule type="dataBar" priority="1384">
      <dataBar>
        <cfvo type="min"/>
        <cfvo type="max"/>
        <color rgb="FF638EC6"/>
      </dataBar>
      <extLst>
        <ext xmlns:x14="http://schemas.microsoft.com/office/spreadsheetml/2009/9/main" uri="{B025F937-C7B1-47D3-B67F-A62EFF666E3E}">
          <x14:id>{7BC9C531-186F-CA4D-954E-9371E6174D47}</x14:id>
        </ext>
      </extLst>
    </cfRule>
    <cfRule type="cellIs" dxfId="264" priority="1365" operator="equal">
      <formula>"High"</formula>
    </cfRule>
    <cfRule type="cellIs" dxfId="263" priority="1367" operator="equal">
      <formula>"Very Low"</formula>
    </cfRule>
    <cfRule type="cellIs" dxfId="262" priority="1368" operator="equal">
      <formula>"Ver Low"</formula>
    </cfRule>
    <cfRule type="colorScale" priority="1385">
      <colorScale>
        <cfvo type="min"/>
        <cfvo type="max"/>
        <color rgb="FF92D050"/>
        <color rgb="FFFFEF9C"/>
      </colorScale>
    </cfRule>
    <cfRule type="colorScale" priority="1386">
      <colorScale>
        <cfvo type="min"/>
        <cfvo type="max"/>
        <color rgb="FFFF7128"/>
        <color rgb="FFFFEF9C"/>
      </colorScale>
    </cfRule>
    <cfRule type="cellIs" dxfId="261" priority="1369" operator="equal">
      <formula>"Low"</formula>
    </cfRule>
    <cfRule type="cellIs" dxfId="260" priority="1373" operator="equal">
      <formula>"Occasional"</formula>
    </cfRule>
    <cfRule type="cellIs" dxfId="259" priority="1374" operator="equal">
      <formula>"Remote"</formula>
    </cfRule>
    <cfRule type="cellIs" dxfId="258" priority="1370" operator="equal">
      <formula>"Frequent"</formula>
    </cfRule>
    <cfRule type="cellIs" dxfId="257" priority="1375" operator="equal">
      <formula>"Remote"</formula>
    </cfRule>
    <cfRule type="cellIs" dxfId="256" priority="1376" operator="equal">
      <formula>"Improbable"</formula>
    </cfRule>
    <cfRule type="cellIs" dxfId="255" priority="1377" operator="equal">
      <formula>"Improbable"</formula>
    </cfRule>
  </conditionalFormatting>
  <conditionalFormatting sqref="S18">
    <cfRule type="colorScale" priority="432">
      <colorScale>
        <cfvo type="min"/>
        <cfvo type="max"/>
        <color rgb="FFFF7128"/>
        <color rgb="FFFFEF9C"/>
      </colorScale>
    </cfRule>
    <cfRule type="colorScale" priority="431">
      <colorScale>
        <cfvo type="min"/>
        <cfvo type="max"/>
        <color rgb="FF92D050"/>
        <color rgb="FFFFEF9C"/>
      </colorScale>
    </cfRule>
    <cfRule type="dataBar" priority="430">
      <dataBar>
        <cfvo type="min"/>
        <cfvo type="max"/>
        <color rgb="FF638EC6"/>
      </dataBar>
      <extLst>
        <ext xmlns:x14="http://schemas.microsoft.com/office/spreadsheetml/2009/9/main" uri="{B025F937-C7B1-47D3-B67F-A62EFF666E3E}">
          <x14:id>{6143C381-9871-E340-B6F4-DEE058B1F6A1}</x14:id>
        </ext>
      </extLst>
    </cfRule>
  </conditionalFormatting>
  <conditionalFormatting sqref="S18:S27">
    <cfRule type="cellIs" dxfId="254" priority="400" operator="equal">
      <formula>"Very High"</formula>
    </cfRule>
    <cfRule type="cellIs" dxfId="253" priority="396" operator="equal">
      <formula>"Improbable"</formula>
    </cfRule>
    <cfRule type="cellIs" dxfId="252" priority="389" operator="equal">
      <formula>"Frequent"</formula>
    </cfRule>
    <cfRule type="cellIs" dxfId="251" priority="384" operator="equal">
      <formula>"High"</formula>
    </cfRule>
    <cfRule type="cellIs" dxfId="250" priority="402" operator="equal">
      <formula>"Low"</formula>
    </cfRule>
    <cfRule type="cellIs" dxfId="249" priority="386" operator="equal">
      <formula>"Very Low"</formula>
    </cfRule>
    <cfRule type="cellIs" dxfId="248" priority="401" operator="equal">
      <formula>"Medium"</formula>
    </cfRule>
    <cfRule type="cellIs" dxfId="247" priority="390" operator="equal">
      <formula>"Frequent$E$21"</formula>
    </cfRule>
    <cfRule type="cellIs" dxfId="246" priority="387" operator="equal">
      <formula>"Ver Low"</formula>
    </cfRule>
    <cfRule type="cellIs" dxfId="245" priority="388" operator="equal">
      <formula>"Low"</formula>
    </cfRule>
    <cfRule type="cellIs" dxfId="244" priority="395" operator="equal">
      <formula>"Improbable"</formula>
    </cfRule>
    <cfRule type="cellIs" dxfId="243" priority="394" operator="equal">
      <formula>"Remote"</formula>
    </cfRule>
    <cfRule type="cellIs" dxfId="242" priority="393" operator="equal">
      <formula>"Remote"</formula>
    </cfRule>
    <cfRule type="cellIs" dxfId="241" priority="392" operator="equal">
      <formula>"Occasional"</formula>
    </cfRule>
    <cfRule type="cellIs" dxfId="240" priority="391" operator="equal">
      <formula>"Probable"</formula>
    </cfRule>
  </conditionalFormatting>
  <conditionalFormatting sqref="S19:S27">
    <cfRule type="colorScale" priority="405">
      <colorScale>
        <cfvo type="min"/>
        <cfvo type="max"/>
        <color rgb="FFFF7128"/>
        <color rgb="FFFFEF9C"/>
      </colorScale>
    </cfRule>
    <cfRule type="dataBar" priority="403">
      <dataBar>
        <cfvo type="min"/>
        <cfvo type="max"/>
        <color rgb="FF638EC6"/>
      </dataBar>
      <extLst>
        <ext xmlns:x14="http://schemas.microsoft.com/office/spreadsheetml/2009/9/main" uri="{B025F937-C7B1-47D3-B67F-A62EFF666E3E}">
          <x14:id>{04F72258-4D84-9149-90B0-577652EF8B8C}</x14:id>
        </ext>
      </extLst>
    </cfRule>
    <cfRule type="colorScale" priority="404">
      <colorScale>
        <cfvo type="min"/>
        <cfvo type="max"/>
        <color rgb="FF92D050"/>
        <color rgb="FFFFEF9C"/>
      </colorScale>
    </cfRule>
  </conditionalFormatting>
  <conditionalFormatting sqref="S30">
    <cfRule type="colorScale" priority="378">
      <colorScale>
        <cfvo type="min"/>
        <cfvo type="max"/>
        <color rgb="FFFF7128"/>
        <color rgb="FFFFEF9C"/>
      </colorScale>
    </cfRule>
    <cfRule type="dataBar" priority="376">
      <dataBar>
        <cfvo type="min"/>
        <cfvo type="max"/>
        <color rgb="FF638EC6"/>
      </dataBar>
      <extLst>
        <ext xmlns:x14="http://schemas.microsoft.com/office/spreadsheetml/2009/9/main" uri="{B025F937-C7B1-47D3-B67F-A62EFF666E3E}">
          <x14:id>{3A688321-A6F8-3944-A66C-DAEB5841A396}</x14:id>
        </ext>
      </extLst>
    </cfRule>
    <cfRule type="colorScale" priority="377">
      <colorScale>
        <cfvo type="min"/>
        <cfvo type="max"/>
        <color rgb="FF92D050"/>
        <color rgb="FFFFEF9C"/>
      </colorScale>
    </cfRule>
  </conditionalFormatting>
  <conditionalFormatting sqref="S30:S39">
    <cfRule type="cellIs" dxfId="239" priority="332" operator="equal">
      <formula>"Very Low"</formula>
    </cfRule>
    <cfRule type="cellIs" dxfId="238" priority="330" operator="equal">
      <formula>"High"</formula>
    </cfRule>
    <cfRule type="cellIs" dxfId="237" priority="346" operator="equal">
      <formula>"Very High"</formula>
    </cfRule>
    <cfRule type="cellIs" dxfId="236" priority="333" operator="equal">
      <formula>"Ver Low"</formula>
    </cfRule>
    <cfRule type="cellIs" dxfId="235" priority="334" operator="equal">
      <formula>"Low"</formula>
    </cfRule>
    <cfRule type="cellIs" dxfId="234" priority="335" operator="equal">
      <formula>"Frequent"</formula>
    </cfRule>
    <cfRule type="cellIs" dxfId="233" priority="336" operator="equal">
      <formula>"Frequent$E$21"</formula>
    </cfRule>
    <cfRule type="cellIs" dxfId="232" priority="348" operator="equal">
      <formula>"Low"</formula>
    </cfRule>
    <cfRule type="cellIs" dxfId="231" priority="347" operator="equal">
      <formula>"Medium"</formula>
    </cfRule>
    <cfRule type="cellIs" dxfId="230" priority="337" operator="equal">
      <formula>"Probable"</formula>
    </cfRule>
    <cfRule type="cellIs" dxfId="229" priority="342" operator="equal">
      <formula>"Improbable"</formula>
    </cfRule>
    <cfRule type="cellIs" dxfId="228" priority="341" operator="equal">
      <formula>"Improbable"</formula>
    </cfRule>
    <cfRule type="cellIs" dxfId="227" priority="340" operator="equal">
      <formula>"Remote"</formula>
    </cfRule>
    <cfRule type="cellIs" dxfId="226" priority="339" operator="equal">
      <formula>"Remote"</formula>
    </cfRule>
    <cfRule type="cellIs" dxfId="225" priority="338" operator="equal">
      <formula>"Occasional"</formula>
    </cfRule>
  </conditionalFormatting>
  <conditionalFormatting sqref="S31:S39">
    <cfRule type="dataBar" priority="349">
      <dataBar>
        <cfvo type="min"/>
        <cfvo type="max"/>
        <color rgb="FF638EC6"/>
      </dataBar>
      <extLst>
        <ext xmlns:x14="http://schemas.microsoft.com/office/spreadsheetml/2009/9/main" uri="{B025F937-C7B1-47D3-B67F-A62EFF666E3E}">
          <x14:id>{FAA4E75D-3EE6-9446-9C27-12BEFED274F9}</x14:id>
        </ext>
      </extLst>
    </cfRule>
    <cfRule type="colorScale" priority="350">
      <colorScale>
        <cfvo type="min"/>
        <cfvo type="max"/>
        <color rgb="FF92D050"/>
        <color rgb="FFFFEF9C"/>
      </colorScale>
    </cfRule>
    <cfRule type="colorScale" priority="351">
      <colorScale>
        <cfvo type="min"/>
        <cfvo type="max"/>
        <color rgb="FFFF7128"/>
        <color rgb="FFFFEF9C"/>
      </colorScale>
    </cfRule>
  </conditionalFormatting>
  <conditionalFormatting sqref="S42">
    <cfRule type="colorScale" priority="323">
      <colorScale>
        <cfvo type="min"/>
        <cfvo type="max"/>
        <color rgb="FF92D050"/>
        <color rgb="FFFFEF9C"/>
      </colorScale>
    </cfRule>
    <cfRule type="dataBar" priority="322">
      <dataBar>
        <cfvo type="min"/>
        <cfvo type="max"/>
        <color rgb="FF638EC6"/>
      </dataBar>
      <extLst>
        <ext xmlns:x14="http://schemas.microsoft.com/office/spreadsheetml/2009/9/main" uri="{B025F937-C7B1-47D3-B67F-A62EFF666E3E}">
          <x14:id>{D191B92C-76D5-FB40-BF97-5E7BD84BE64B}</x14:id>
        </ext>
      </extLst>
    </cfRule>
    <cfRule type="colorScale" priority="324">
      <colorScale>
        <cfvo type="min"/>
        <cfvo type="max"/>
        <color rgb="FFFF7128"/>
        <color rgb="FFFFEF9C"/>
      </colorScale>
    </cfRule>
  </conditionalFormatting>
  <conditionalFormatting sqref="S42:S51">
    <cfRule type="cellIs" dxfId="224" priority="278" operator="equal">
      <formula>"Very Low"</formula>
    </cfRule>
    <cfRule type="cellIs" dxfId="223" priority="281" operator="equal">
      <formula>"Frequent"</formula>
    </cfRule>
    <cfRule type="cellIs" dxfId="222" priority="285" operator="equal">
      <formula>"Remote"</formula>
    </cfRule>
    <cfRule type="cellIs" dxfId="221" priority="294" operator="equal">
      <formula>"Low"</formula>
    </cfRule>
    <cfRule type="cellIs" dxfId="220" priority="293" operator="equal">
      <formula>"Medium"</formula>
    </cfRule>
    <cfRule type="cellIs" dxfId="219" priority="292" operator="equal">
      <formula>"Very High"</formula>
    </cfRule>
    <cfRule type="cellIs" dxfId="218" priority="288" operator="equal">
      <formula>"Improbable"</formula>
    </cfRule>
    <cfRule type="cellIs" dxfId="217" priority="286" operator="equal">
      <formula>"Remote"</formula>
    </cfRule>
    <cfRule type="cellIs" dxfId="216" priority="287" operator="equal">
      <formula>"Improbable"</formula>
    </cfRule>
    <cfRule type="cellIs" dxfId="215" priority="279" operator="equal">
      <formula>"Ver Low"</formula>
    </cfRule>
    <cfRule type="cellIs" dxfId="214" priority="280" operator="equal">
      <formula>"Low"</formula>
    </cfRule>
    <cfRule type="cellIs" dxfId="213" priority="284" operator="equal">
      <formula>"Occasional"</formula>
    </cfRule>
    <cfRule type="cellIs" dxfId="212" priority="282" operator="equal">
      <formula>"Frequent$E$21"</formula>
    </cfRule>
    <cfRule type="cellIs" dxfId="211" priority="276" operator="equal">
      <formula>"High"</formula>
    </cfRule>
    <cfRule type="cellIs" dxfId="210" priority="283" operator="equal">
      <formula>"Probable"</formula>
    </cfRule>
  </conditionalFormatting>
  <conditionalFormatting sqref="S43:S51">
    <cfRule type="colorScale" priority="297">
      <colorScale>
        <cfvo type="min"/>
        <cfvo type="max"/>
        <color rgb="FFFF7128"/>
        <color rgb="FFFFEF9C"/>
      </colorScale>
    </cfRule>
    <cfRule type="dataBar" priority="295">
      <dataBar>
        <cfvo type="min"/>
        <cfvo type="max"/>
        <color rgb="FF638EC6"/>
      </dataBar>
      <extLst>
        <ext xmlns:x14="http://schemas.microsoft.com/office/spreadsheetml/2009/9/main" uri="{B025F937-C7B1-47D3-B67F-A62EFF666E3E}">
          <x14:id>{B65670D8-184B-A542-B92E-03E44C37A410}</x14:id>
        </ext>
      </extLst>
    </cfRule>
    <cfRule type="colorScale" priority="296">
      <colorScale>
        <cfvo type="min"/>
        <cfvo type="max"/>
        <color rgb="FF92D050"/>
        <color rgb="FFFFEF9C"/>
      </colorScale>
    </cfRule>
  </conditionalFormatting>
  <conditionalFormatting sqref="S54">
    <cfRule type="colorScale" priority="270">
      <colorScale>
        <cfvo type="min"/>
        <cfvo type="max"/>
        <color rgb="FFFF7128"/>
        <color rgb="FFFFEF9C"/>
      </colorScale>
    </cfRule>
    <cfRule type="colorScale" priority="269">
      <colorScale>
        <cfvo type="min"/>
        <cfvo type="max"/>
        <color rgb="FF92D050"/>
        <color rgb="FFFFEF9C"/>
      </colorScale>
    </cfRule>
    <cfRule type="dataBar" priority="268">
      <dataBar>
        <cfvo type="min"/>
        <cfvo type="max"/>
        <color rgb="FF638EC6"/>
      </dataBar>
      <extLst>
        <ext xmlns:x14="http://schemas.microsoft.com/office/spreadsheetml/2009/9/main" uri="{B025F937-C7B1-47D3-B67F-A62EFF666E3E}">
          <x14:id>{142A930A-B8EE-964F-87AA-EB4884DD9D8C}</x14:id>
        </ext>
      </extLst>
    </cfRule>
  </conditionalFormatting>
  <conditionalFormatting sqref="S54:S63">
    <cfRule type="cellIs" dxfId="209" priority="230" operator="equal">
      <formula>"Occasional"</formula>
    </cfRule>
    <cfRule type="cellIs" dxfId="208" priority="229" operator="equal">
      <formula>"Probable"</formula>
    </cfRule>
    <cfRule type="cellIs" dxfId="207" priority="228" operator="equal">
      <formula>"Frequent$E$21"</formula>
    </cfRule>
    <cfRule type="cellIs" dxfId="206" priority="225" operator="equal">
      <formula>"Ver Low"</formula>
    </cfRule>
    <cfRule type="cellIs" dxfId="205" priority="232" operator="equal">
      <formula>"Remote"</formula>
    </cfRule>
    <cfRule type="cellIs" dxfId="204" priority="233" operator="equal">
      <formula>"Improbable"</formula>
    </cfRule>
    <cfRule type="cellIs" dxfId="203" priority="222" operator="equal">
      <formula>"High"</formula>
    </cfRule>
    <cfRule type="cellIs" dxfId="202" priority="234" operator="equal">
      <formula>"Improbable"</formula>
    </cfRule>
    <cfRule type="cellIs" dxfId="201" priority="231" operator="equal">
      <formula>"Remote"</formula>
    </cfRule>
    <cfRule type="cellIs" dxfId="200" priority="224" operator="equal">
      <formula>"Very Low"</formula>
    </cfRule>
    <cfRule type="cellIs" dxfId="199" priority="227" operator="equal">
      <formula>"Frequent"</formula>
    </cfRule>
    <cfRule type="cellIs" dxfId="198" priority="238" operator="equal">
      <formula>"Very High"</formula>
    </cfRule>
    <cfRule type="cellIs" dxfId="197" priority="226" operator="equal">
      <formula>"Low"</formula>
    </cfRule>
    <cfRule type="cellIs" dxfId="196" priority="239" operator="equal">
      <formula>"Medium"</formula>
    </cfRule>
    <cfRule type="cellIs" dxfId="195" priority="240" operator="equal">
      <formula>"Low"</formula>
    </cfRule>
  </conditionalFormatting>
  <conditionalFormatting sqref="S55:S63">
    <cfRule type="dataBar" priority="241">
      <dataBar>
        <cfvo type="min"/>
        <cfvo type="max"/>
        <color rgb="FF638EC6"/>
      </dataBar>
      <extLst>
        <ext xmlns:x14="http://schemas.microsoft.com/office/spreadsheetml/2009/9/main" uri="{B025F937-C7B1-47D3-B67F-A62EFF666E3E}">
          <x14:id>{CFA2E82E-801C-9845-A131-75337753F3B7}</x14:id>
        </ext>
      </extLst>
    </cfRule>
    <cfRule type="colorScale" priority="242">
      <colorScale>
        <cfvo type="min"/>
        <cfvo type="max"/>
        <color rgb="FF92D050"/>
        <color rgb="FFFFEF9C"/>
      </colorScale>
    </cfRule>
    <cfRule type="colorScale" priority="243">
      <colorScale>
        <cfvo type="min"/>
        <cfvo type="max"/>
        <color rgb="FFFF7128"/>
        <color rgb="FFFFEF9C"/>
      </colorScale>
    </cfRule>
  </conditionalFormatting>
  <conditionalFormatting sqref="S66">
    <cfRule type="colorScale" priority="215">
      <colorScale>
        <cfvo type="min"/>
        <cfvo type="max"/>
        <color rgb="FF92D050"/>
        <color rgb="FFFFEF9C"/>
      </colorScale>
    </cfRule>
    <cfRule type="colorScale" priority="216">
      <colorScale>
        <cfvo type="min"/>
        <cfvo type="max"/>
        <color rgb="FFFF7128"/>
        <color rgb="FFFFEF9C"/>
      </colorScale>
    </cfRule>
    <cfRule type="dataBar" priority="214">
      <dataBar>
        <cfvo type="min"/>
        <cfvo type="max"/>
        <color rgb="FF638EC6"/>
      </dataBar>
      <extLst>
        <ext xmlns:x14="http://schemas.microsoft.com/office/spreadsheetml/2009/9/main" uri="{B025F937-C7B1-47D3-B67F-A62EFF666E3E}">
          <x14:id>{0B949CBB-B74B-8043-93B7-5AA6C376556D}</x14:id>
        </ext>
      </extLst>
    </cfRule>
  </conditionalFormatting>
  <conditionalFormatting sqref="S66:S75">
    <cfRule type="cellIs" dxfId="194" priority="180" operator="equal">
      <formula>"Improbable"</formula>
    </cfRule>
    <cfRule type="cellIs" dxfId="193" priority="168" operator="equal">
      <formula>"High"</formula>
    </cfRule>
    <cfRule type="cellIs" dxfId="192" priority="170" operator="equal">
      <formula>"Very Low"</formula>
    </cfRule>
    <cfRule type="cellIs" dxfId="191" priority="171" operator="equal">
      <formula>"Ver Low"</formula>
    </cfRule>
    <cfRule type="cellIs" dxfId="190" priority="179" operator="equal">
      <formula>"Improbable"</formula>
    </cfRule>
    <cfRule type="cellIs" dxfId="189" priority="184" operator="equal">
      <formula>"Very High"</formula>
    </cfRule>
    <cfRule type="cellIs" dxfId="188" priority="178" operator="equal">
      <formula>"Remote"</formula>
    </cfRule>
    <cfRule type="cellIs" dxfId="187" priority="186" operator="equal">
      <formula>"Low"</formula>
    </cfRule>
    <cfRule type="cellIs" dxfId="186" priority="185" operator="equal">
      <formula>"Medium"</formula>
    </cfRule>
    <cfRule type="cellIs" dxfId="185" priority="177" operator="equal">
      <formula>"Remote"</formula>
    </cfRule>
    <cfRule type="cellIs" dxfId="184" priority="172" operator="equal">
      <formula>"Low"</formula>
    </cfRule>
    <cfRule type="cellIs" dxfId="183" priority="173" operator="equal">
      <formula>"Frequent"</formula>
    </cfRule>
    <cfRule type="cellIs" dxfId="182" priority="174" operator="equal">
      <formula>"Frequent$E$21"</formula>
    </cfRule>
    <cfRule type="cellIs" dxfId="181" priority="175" operator="equal">
      <formula>"Probable"</formula>
    </cfRule>
    <cfRule type="cellIs" dxfId="180" priority="176" operator="equal">
      <formula>"Occasional"</formula>
    </cfRule>
  </conditionalFormatting>
  <conditionalFormatting sqref="S67:S75">
    <cfRule type="dataBar" priority="187">
      <dataBar>
        <cfvo type="min"/>
        <cfvo type="max"/>
        <color rgb="FF638EC6"/>
      </dataBar>
      <extLst>
        <ext xmlns:x14="http://schemas.microsoft.com/office/spreadsheetml/2009/9/main" uri="{B025F937-C7B1-47D3-B67F-A62EFF666E3E}">
          <x14:id>{1E4E7981-C416-5B45-A762-3306DC7FD272}</x14:id>
        </ext>
      </extLst>
    </cfRule>
    <cfRule type="colorScale" priority="188">
      <colorScale>
        <cfvo type="min"/>
        <cfvo type="max"/>
        <color rgb="FF92D050"/>
        <color rgb="FFFFEF9C"/>
      </colorScale>
    </cfRule>
    <cfRule type="colorScale" priority="189">
      <colorScale>
        <cfvo type="min"/>
        <cfvo type="max"/>
        <color rgb="FFFF7128"/>
        <color rgb="FFFFEF9C"/>
      </colorScale>
    </cfRule>
  </conditionalFormatting>
  <conditionalFormatting sqref="S78">
    <cfRule type="colorScale" priority="162">
      <colorScale>
        <cfvo type="min"/>
        <cfvo type="max"/>
        <color rgb="FFFF7128"/>
        <color rgb="FFFFEF9C"/>
      </colorScale>
    </cfRule>
    <cfRule type="dataBar" priority="160">
      <dataBar>
        <cfvo type="min"/>
        <cfvo type="max"/>
        <color rgb="FF638EC6"/>
      </dataBar>
      <extLst>
        <ext xmlns:x14="http://schemas.microsoft.com/office/spreadsheetml/2009/9/main" uri="{B025F937-C7B1-47D3-B67F-A62EFF666E3E}">
          <x14:id>{26C24C32-2AB8-8040-8F63-ABB3CC0FEEC1}</x14:id>
        </ext>
      </extLst>
    </cfRule>
    <cfRule type="colorScale" priority="161">
      <colorScale>
        <cfvo type="min"/>
        <cfvo type="max"/>
        <color rgb="FF92D050"/>
        <color rgb="FFFFEF9C"/>
      </colorScale>
    </cfRule>
  </conditionalFormatting>
  <conditionalFormatting sqref="S78:S87">
    <cfRule type="cellIs" dxfId="179" priority="123" operator="equal">
      <formula>"Remote"</formula>
    </cfRule>
    <cfRule type="cellIs" dxfId="178" priority="122" operator="equal">
      <formula>"Occasional"</formula>
    </cfRule>
    <cfRule type="cellIs" dxfId="177" priority="121" operator="equal">
      <formula>"Probable"</formula>
    </cfRule>
    <cfRule type="cellIs" dxfId="176" priority="120" operator="equal">
      <formula>"Frequent$E$21"</formula>
    </cfRule>
    <cfRule type="cellIs" dxfId="175" priority="119" operator="equal">
      <formula>"Frequent"</formula>
    </cfRule>
    <cfRule type="cellIs" dxfId="174" priority="118" operator="equal">
      <formula>"Low"</formula>
    </cfRule>
    <cfRule type="cellIs" dxfId="173" priority="117" operator="equal">
      <formula>"Ver Low"</formula>
    </cfRule>
    <cfRule type="cellIs" dxfId="172" priority="116" operator="equal">
      <formula>"Very Low"</formula>
    </cfRule>
    <cfRule type="cellIs" dxfId="171" priority="124" operator="equal">
      <formula>"Remote"</formula>
    </cfRule>
    <cfRule type="cellIs" dxfId="170" priority="125" operator="equal">
      <formula>"Improbable"</formula>
    </cfRule>
    <cfRule type="cellIs" dxfId="169" priority="126" operator="equal">
      <formula>"Improbable"</formula>
    </cfRule>
    <cfRule type="cellIs" dxfId="168" priority="130" operator="equal">
      <formula>"Very High"</formula>
    </cfRule>
    <cfRule type="cellIs" dxfId="167" priority="114" operator="equal">
      <formula>"High"</formula>
    </cfRule>
    <cfRule type="cellIs" dxfId="166" priority="131" operator="equal">
      <formula>"Medium"</formula>
    </cfRule>
    <cfRule type="cellIs" dxfId="165" priority="132" operator="equal">
      <formula>"Low"</formula>
    </cfRule>
  </conditionalFormatting>
  <conditionalFormatting sqref="S79:S87">
    <cfRule type="dataBar" priority="133">
      <dataBar>
        <cfvo type="min"/>
        <cfvo type="max"/>
        <color rgb="FF638EC6"/>
      </dataBar>
      <extLst>
        <ext xmlns:x14="http://schemas.microsoft.com/office/spreadsheetml/2009/9/main" uri="{B025F937-C7B1-47D3-B67F-A62EFF666E3E}">
          <x14:id>{6B0447B3-5E95-0B48-A2C5-26DE3F047857}</x14:id>
        </ext>
      </extLst>
    </cfRule>
    <cfRule type="colorScale" priority="134">
      <colorScale>
        <cfvo type="min"/>
        <cfvo type="max"/>
        <color rgb="FF92D050"/>
        <color rgb="FFFFEF9C"/>
      </colorScale>
    </cfRule>
    <cfRule type="colorScale" priority="135">
      <colorScale>
        <cfvo type="min"/>
        <cfvo type="max"/>
        <color rgb="FFFF7128"/>
        <color rgb="FFFFEF9C"/>
      </colorScale>
    </cfRule>
  </conditionalFormatting>
  <conditionalFormatting sqref="S90">
    <cfRule type="colorScale" priority="108">
      <colorScale>
        <cfvo type="min"/>
        <cfvo type="max"/>
        <color rgb="FFFF7128"/>
        <color rgb="FFFFEF9C"/>
      </colorScale>
    </cfRule>
    <cfRule type="colorScale" priority="107">
      <colorScale>
        <cfvo type="min"/>
        <cfvo type="max"/>
        <color rgb="FF92D050"/>
        <color rgb="FFFFEF9C"/>
      </colorScale>
    </cfRule>
    <cfRule type="dataBar" priority="106">
      <dataBar>
        <cfvo type="min"/>
        <cfvo type="max"/>
        <color rgb="FF638EC6"/>
      </dataBar>
      <extLst>
        <ext xmlns:x14="http://schemas.microsoft.com/office/spreadsheetml/2009/9/main" uri="{B025F937-C7B1-47D3-B67F-A62EFF666E3E}">
          <x14:id>{63CD617B-684F-854E-87DA-E1A5C776A1BD}</x14:id>
        </ext>
      </extLst>
    </cfRule>
  </conditionalFormatting>
  <conditionalFormatting sqref="S90:S99">
    <cfRule type="cellIs" dxfId="164" priority="70" operator="equal">
      <formula>"Remote"</formula>
    </cfRule>
    <cfRule type="cellIs" dxfId="163" priority="69" operator="equal">
      <formula>"Remote"</formula>
    </cfRule>
    <cfRule type="cellIs" dxfId="162" priority="68" operator="equal">
      <formula>"Occasional"</formula>
    </cfRule>
    <cfRule type="cellIs" dxfId="161" priority="67" operator="equal">
      <formula>"Probable"</formula>
    </cfRule>
    <cfRule type="cellIs" dxfId="160" priority="66" operator="equal">
      <formula>"Frequent$E$21"</formula>
    </cfRule>
    <cfRule type="cellIs" dxfId="159" priority="65" operator="equal">
      <formula>"Frequent"</formula>
    </cfRule>
    <cfRule type="cellIs" dxfId="158" priority="60" operator="equal">
      <formula>"High"</formula>
    </cfRule>
    <cfRule type="cellIs" dxfId="157" priority="71" operator="equal">
      <formula>"Improbable"</formula>
    </cfRule>
    <cfRule type="cellIs" dxfId="156" priority="72" operator="equal">
      <formula>"Improbable"</formula>
    </cfRule>
    <cfRule type="cellIs" dxfId="155" priority="78" operator="equal">
      <formula>"Low"</formula>
    </cfRule>
    <cfRule type="cellIs" dxfId="154" priority="77" operator="equal">
      <formula>"Medium"</formula>
    </cfRule>
    <cfRule type="cellIs" dxfId="153" priority="76" operator="equal">
      <formula>"Very High"</formula>
    </cfRule>
    <cfRule type="cellIs" dxfId="152" priority="62" operator="equal">
      <formula>"Very Low"</formula>
    </cfRule>
    <cfRule type="cellIs" dxfId="151" priority="63" operator="equal">
      <formula>"Ver Low"</formula>
    </cfRule>
    <cfRule type="cellIs" dxfId="150" priority="64" operator="equal">
      <formula>"Low"</formula>
    </cfRule>
  </conditionalFormatting>
  <conditionalFormatting sqref="S91:S99">
    <cfRule type="dataBar" priority="79">
      <dataBar>
        <cfvo type="min"/>
        <cfvo type="max"/>
        <color rgb="FF638EC6"/>
      </dataBar>
      <extLst>
        <ext xmlns:x14="http://schemas.microsoft.com/office/spreadsheetml/2009/9/main" uri="{B025F937-C7B1-47D3-B67F-A62EFF666E3E}">
          <x14:id>{E43474EB-67DE-A042-9262-C0EAFBEA5F78}</x14:id>
        </ext>
      </extLst>
    </cfRule>
    <cfRule type="colorScale" priority="80">
      <colorScale>
        <cfvo type="min"/>
        <cfvo type="max"/>
        <color rgb="FF92D050"/>
        <color rgb="FFFFEF9C"/>
      </colorScale>
    </cfRule>
    <cfRule type="colorScale" priority="81">
      <colorScale>
        <cfvo type="min"/>
        <cfvo type="max"/>
        <color rgb="FFFF7128"/>
        <color rgb="FFFFEF9C"/>
      </colorScale>
    </cfRule>
  </conditionalFormatting>
  <conditionalFormatting sqref="S102">
    <cfRule type="dataBar" priority="1132">
      <dataBar>
        <cfvo type="min"/>
        <cfvo type="max"/>
        <color rgb="FF638EC6"/>
      </dataBar>
      <extLst>
        <ext xmlns:x14="http://schemas.microsoft.com/office/spreadsheetml/2009/9/main" uri="{B025F937-C7B1-47D3-B67F-A62EFF666E3E}">
          <x14:id>{9A962157-DADF-EE46-9089-E7872CD764CC}</x14:id>
        </ext>
      </extLst>
    </cfRule>
    <cfRule type="colorScale" priority="1133">
      <colorScale>
        <cfvo type="min"/>
        <cfvo type="max"/>
        <color rgb="FF92D050"/>
        <color rgb="FFFFEF9C"/>
      </colorScale>
    </cfRule>
    <cfRule type="colorScale" priority="1134">
      <colorScale>
        <cfvo type="min"/>
        <cfvo type="max"/>
        <color rgb="FFFF7128"/>
        <color rgb="FFFFEF9C"/>
      </colorScale>
    </cfRule>
  </conditionalFormatting>
  <conditionalFormatting sqref="S102:S111">
    <cfRule type="cellIs" dxfId="149" priority="40" operator="equal">
      <formula>"Probable"</formula>
    </cfRule>
    <cfRule type="cellIs" dxfId="148" priority="38" operator="equal">
      <formula>"Frequent"</formula>
    </cfRule>
    <cfRule type="cellIs" dxfId="147" priority="37" operator="equal">
      <formula>"Low"</formula>
    </cfRule>
    <cfRule type="cellIs" dxfId="146" priority="36" operator="equal">
      <formula>"Ver Low"</formula>
    </cfRule>
    <cfRule type="cellIs" dxfId="145" priority="35" operator="equal">
      <formula>"Very Low"</formula>
    </cfRule>
    <cfRule type="cellIs" dxfId="144" priority="33" operator="equal">
      <formula>"High"</formula>
    </cfRule>
    <cfRule type="cellIs" dxfId="143" priority="51" operator="equal">
      <formula>"Low"</formula>
    </cfRule>
    <cfRule type="cellIs" dxfId="142" priority="50" operator="equal">
      <formula>"Medium"</formula>
    </cfRule>
    <cfRule type="cellIs" dxfId="141" priority="39" operator="equal">
      <formula>"Frequent$E$21"</formula>
    </cfRule>
    <cfRule type="cellIs" dxfId="140" priority="41" operator="equal">
      <formula>"Occasional"</formula>
    </cfRule>
    <cfRule type="cellIs" dxfId="139" priority="42" operator="equal">
      <formula>"Remote"</formula>
    </cfRule>
    <cfRule type="cellIs" dxfId="138" priority="43" operator="equal">
      <formula>"Remote"</formula>
    </cfRule>
    <cfRule type="cellIs" dxfId="137" priority="44" operator="equal">
      <formula>"Improbable"</formula>
    </cfRule>
    <cfRule type="cellIs" dxfId="136" priority="45" operator="equal">
      <formula>"Improbable"</formula>
    </cfRule>
    <cfRule type="cellIs" dxfId="135" priority="49" operator="equal">
      <formula>"Very High"</formula>
    </cfRule>
  </conditionalFormatting>
  <conditionalFormatting sqref="S103:S111">
    <cfRule type="dataBar" priority="52">
      <dataBar>
        <cfvo type="min"/>
        <cfvo type="max"/>
        <color rgb="FF638EC6"/>
      </dataBar>
      <extLst>
        <ext xmlns:x14="http://schemas.microsoft.com/office/spreadsheetml/2009/9/main" uri="{B025F937-C7B1-47D3-B67F-A62EFF666E3E}">
          <x14:id>{58AD0A0A-DE32-AD41-80C0-2E22B14B773C}</x14:id>
        </ext>
      </extLst>
    </cfRule>
    <cfRule type="colorScale" priority="53">
      <colorScale>
        <cfvo type="min"/>
        <cfvo type="max"/>
        <color rgb="FF92D050"/>
        <color rgb="FFFFEF9C"/>
      </colorScale>
    </cfRule>
    <cfRule type="colorScale" priority="54">
      <colorScale>
        <cfvo type="min"/>
        <cfvo type="max"/>
        <color rgb="FFFF7128"/>
        <color rgb="FFFFEF9C"/>
      </colorScale>
    </cfRule>
  </conditionalFormatting>
  <conditionalFormatting sqref="S114">
    <cfRule type="colorScale" priority="1107">
      <colorScale>
        <cfvo type="min"/>
        <cfvo type="max"/>
        <color rgb="FFFF7128"/>
        <color rgb="FFFFEF9C"/>
      </colorScale>
    </cfRule>
    <cfRule type="colorScale" priority="1106">
      <colorScale>
        <cfvo type="min"/>
        <cfvo type="max"/>
        <color rgb="FF92D050"/>
        <color rgb="FFFFEF9C"/>
      </colorScale>
    </cfRule>
    <cfRule type="dataBar" priority="1105">
      <dataBar>
        <cfvo type="min"/>
        <cfvo type="max"/>
        <color rgb="FF638EC6"/>
      </dataBar>
      <extLst>
        <ext xmlns:x14="http://schemas.microsoft.com/office/spreadsheetml/2009/9/main" uri="{B025F937-C7B1-47D3-B67F-A62EFF666E3E}">
          <x14:id>{1239AC0D-90F4-1C47-B2D9-BF7E31984794}</x14:id>
        </ext>
      </extLst>
    </cfRule>
  </conditionalFormatting>
  <conditionalFormatting sqref="S114:S123">
    <cfRule type="cellIs" dxfId="134" priority="9" operator="equal">
      <formula>"Ver Low"</formula>
    </cfRule>
    <cfRule type="cellIs" dxfId="133" priority="17" operator="equal">
      <formula>"Improbable"</formula>
    </cfRule>
    <cfRule type="cellIs" dxfId="132" priority="16" operator="equal">
      <formula>"Remote"</formula>
    </cfRule>
    <cfRule type="cellIs" dxfId="131" priority="15" operator="equal">
      <formula>"Remote"</formula>
    </cfRule>
    <cfRule type="cellIs" dxfId="130" priority="14" operator="equal">
      <formula>"Occasional"</formula>
    </cfRule>
    <cfRule type="cellIs" dxfId="129" priority="10" operator="equal">
      <formula>"Low"</formula>
    </cfRule>
    <cfRule type="cellIs" dxfId="128" priority="13" operator="equal">
      <formula>"Probable"</formula>
    </cfRule>
    <cfRule type="cellIs" dxfId="127" priority="6" operator="equal">
      <formula>"High"</formula>
    </cfRule>
    <cfRule type="cellIs" dxfId="126" priority="24" operator="equal">
      <formula>"Low"</formula>
    </cfRule>
    <cfRule type="cellIs" dxfId="125" priority="18" operator="equal">
      <formula>"Improbable"</formula>
    </cfRule>
    <cfRule type="cellIs" dxfId="124" priority="8" operator="equal">
      <formula>"Very Low"</formula>
    </cfRule>
    <cfRule type="cellIs" dxfId="123" priority="23" operator="equal">
      <formula>"Medium"</formula>
    </cfRule>
    <cfRule type="cellIs" dxfId="122" priority="22" operator="equal">
      <formula>"Very High"</formula>
    </cfRule>
    <cfRule type="cellIs" dxfId="121" priority="11" operator="equal">
      <formula>"Frequent"</formula>
    </cfRule>
    <cfRule type="cellIs" dxfId="120" priority="12" operator="equal">
      <formula>"Frequent$E$21"</formula>
    </cfRule>
  </conditionalFormatting>
  <conditionalFormatting sqref="S115:S123">
    <cfRule type="colorScale" priority="27">
      <colorScale>
        <cfvo type="min"/>
        <cfvo type="max"/>
        <color rgb="FFFF7128"/>
        <color rgb="FFFFEF9C"/>
      </colorScale>
    </cfRule>
    <cfRule type="colorScale" priority="26">
      <colorScale>
        <cfvo type="min"/>
        <cfvo type="max"/>
        <color rgb="FF92D050"/>
        <color rgb="FFFFEF9C"/>
      </colorScale>
    </cfRule>
    <cfRule type="dataBar" priority="25">
      <dataBar>
        <cfvo type="min"/>
        <cfvo type="max"/>
        <color rgb="FF638EC6"/>
      </dataBar>
      <extLst>
        <ext xmlns:x14="http://schemas.microsoft.com/office/spreadsheetml/2009/9/main" uri="{B025F937-C7B1-47D3-B67F-A62EFF666E3E}">
          <x14:id>{1F54CAE6-FD66-8443-B9AF-8B25CEA13108}</x14:id>
        </ext>
      </extLst>
    </cfRule>
  </conditionalFormatting>
  <conditionalFormatting sqref="S6:T15">
    <cfRule type="cellIs" dxfId="119" priority="1366" operator="equal">
      <formula>"Low"</formula>
    </cfRule>
  </conditionalFormatting>
  <conditionalFormatting sqref="S18:T27">
    <cfRule type="cellIs" dxfId="118" priority="385" operator="equal">
      <formula>"Low"</formula>
    </cfRule>
  </conditionalFormatting>
  <conditionalFormatting sqref="S30:T39">
    <cfRule type="cellIs" dxfId="117" priority="331" operator="equal">
      <formula>"Low"</formula>
    </cfRule>
  </conditionalFormatting>
  <conditionalFormatting sqref="S42:T51">
    <cfRule type="cellIs" dxfId="116" priority="277" operator="equal">
      <formula>"Low"</formula>
    </cfRule>
  </conditionalFormatting>
  <conditionalFormatting sqref="S54:T63">
    <cfRule type="cellIs" dxfId="115" priority="223" operator="equal">
      <formula>"Low"</formula>
    </cfRule>
  </conditionalFormatting>
  <conditionalFormatting sqref="S66:T75">
    <cfRule type="cellIs" dxfId="114" priority="169" operator="equal">
      <formula>"Low"</formula>
    </cfRule>
  </conditionalFormatting>
  <conditionalFormatting sqref="S78:T87">
    <cfRule type="cellIs" dxfId="113" priority="115" operator="equal">
      <formula>"Low"</formula>
    </cfRule>
  </conditionalFormatting>
  <conditionalFormatting sqref="S90:T99">
    <cfRule type="cellIs" dxfId="112" priority="61" operator="equal">
      <formula>"Low"</formula>
    </cfRule>
  </conditionalFormatting>
  <conditionalFormatting sqref="S102:T111">
    <cfRule type="cellIs" dxfId="111" priority="34" operator="equal">
      <formula>"Low"</formula>
    </cfRule>
  </conditionalFormatting>
  <conditionalFormatting sqref="S114:T123">
    <cfRule type="cellIs" dxfId="110" priority="7" operator="equal">
      <formula>"Low"</formula>
    </cfRule>
  </conditionalFormatting>
  <conditionalFormatting sqref="T6:T15">
    <cfRule type="cellIs" dxfId="109" priority="1360" operator="equal">
      <formula>"Catastrophic"</formula>
    </cfRule>
    <cfRule type="cellIs" dxfId="108" priority="1380" operator="equal">
      <formula>"Negligible"</formula>
    </cfRule>
    <cfRule type="cellIs" dxfId="107" priority="1379" operator="equal">
      <formula>"Marginal"</formula>
    </cfRule>
    <cfRule type="cellIs" dxfId="106" priority="1378" operator="equal">
      <formula>"Critical"</formula>
    </cfRule>
    <cfRule type="cellIs" dxfId="105" priority="1364" operator="equal">
      <formula>"Negligible"</formula>
    </cfRule>
    <cfRule type="cellIs" dxfId="104" priority="1363" operator="equal">
      <formula>"Lower"</formula>
    </cfRule>
    <cfRule type="cellIs" dxfId="103" priority="1362" operator="equal">
      <formula>"Moderate"</formula>
    </cfRule>
    <cfRule type="cellIs" dxfId="102" priority="1361" operator="equal">
      <formula>"Significant"</formula>
    </cfRule>
  </conditionalFormatting>
  <conditionalFormatting sqref="T18:T27">
    <cfRule type="cellIs" dxfId="101" priority="379" operator="equal">
      <formula>"Catastrophic"</formula>
    </cfRule>
    <cfRule type="cellIs" dxfId="100" priority="382" operator="equal">
      <formula>"Lower"</formula>
    </cfRule>
    <cfRule type="cellIs" dxfId="99" priority="381" operator="equal">
      <formula>"Moderate"</formula>
    </cfRule>
    <cfRule type="cellIs" dxfId="98" priority="383" operator="equal">
      <formula>"Negligible"</formula>
    </cfRule>
    <cfRule type="cellIs" dxfId="97" priority="397" operator="equal">
      <formula>"Critical"</formula>
    </cfRule>
    <cfRule type="cellIs" dxfId="96" priority="380" operator="equal">
      <formula>"Significant"</formula>
    </cfRule>
    <cfRule type="cellIs" dxfId="95" priority="398" operator="equal">
      <formula>"Marginal"</formula>
    </cfRule>
    <cfRule type="cellIs" dxfId="94" priority="399" operator="equal">
      <formula>"Negligible"</formula>
    </cfRule>
  </conditionalFormatting>
  <conditionalFormatting sqref="T30:T39">
    <cfRule type="cellIs" dxfId="93" priority="325" operator="equal">
      <formula>"Catastrophic"</formula>
    </cfRule>
    <cfRule type="cellIs" dxfId="92" priority="327" operator="equal">
      <formula>"Moderate"</formula>
    </cfRule>
    <cfRule type="cellIs" dxfId="91" priority="344" operator="equal">
      <formula>"Marginal"</formula>
    </cfRule>
    <cfRule type="cellIs" dxfId="90" priority="345" operator="equal">
      <formula>"Negligible"</formula>
    </cfRule>
    <cfRule type="cellIs" dxfId="89" priority="329" operator="equal">
      <formula>"Negligible"</formula>
    </cfRule>
    <cfRule type="cellIs" dxfId="88" priority="343" operator="equal">
      <formula>"Critical"</formula>
    </cfRule>
    <cfRule type="cellIs" dxfId="87" priority="326" operator="equal">
      <formula>"Significant"</formula>
    </cfRule>
    <cfRule type="cellIs" dxfId="86" priority="328" operator="equal">
      <formula>"Lower"</formula>
    </cfRule>
  </conditionalFormatting>
  <conditionalFormatting sqref="T42:T51">
    <cfRule type="cellIs" dxfId="85" priority="271" operator="equal">
      <formula>"Catastrophic"</formula>
    </cfRule>
    <cfRule type="cellIs" dxfId="84" priority="272" operator="equal">
      <formula>"Significant"</formula>
    </cfRule>
    <cfRule type="cellIs" dxfId="83" priority="291" operator="equal">
      <formula>"Negligible"</formula>
    </cfRule>
    <cfRule type="cellIs" dxfId="82" priority="273" operator="equal">
      <formula>"Moderate"</formula>
    </cfRule>
    <cfRule type="cellIs" dxfId="81" priority="275" operator="equal">
      <formula>"Negligible"</formula>
    </cfRule>
    <cfRule type="cellIs" dxfId="80" priority="274" operator="equal">
      <formula>"Lower"</formula>
    </cfRule>
    <cfRule type="cellIs" dxfId="79" priority="290" operator="equal">
      <formula>"Marginal"</formula>
    </cfRule>
    <cfRule type="cellIs" dxfId="78" priority="289" operator="equal">
      <formula>"Critical"</formula>
    </cfRule>
  </conditionalFormatting>
  <conditionalFormatting sqref="T54:T63">
    <cfRule type="cellIs" dxfId="77" priority="219" operator="equal">
      <formula>"Moderate"</formula>
    </cfRule>
    <cfRule type="cellIs" dxfId="76" priority="236" operator="equal">
      <formula>"Marginal"</formula>
    </cfRule>
    <cfRule type="cellIs" dxfId="75" priority="221" operator="equal">
      <formula>"Negligible"</formula>
    </cfRule>
    <cfRule type="cellIs" dxfId="74" priority="220" operator="equal">
      <formula>"Lower"</formula>
    </cfRule>
    <cfRule type="cellIs" dxfId="73" priority="235" operator="equal">
      <formula>"Critical"</formula>
    </cfRule>
    <cfRule type="cellIs" dxfId="72" priority="218" operator="equal">
      <formula>"Significant"</formula>
    </cfRule>
    <cfRule type="cellIs" dxfId="71" priority="217" operator="equal">
      <formula>"Catastrophic"</formula>
    </cfRule>
    <cfRule type="cellIs" dxfId="70" priority="237" operator="equal">
      <formula>"Negligible"</formula>
    </cfRule>
  </conditionalFormatting>
  <conditionalFormatting sqref="T66:T75">
    <cfRule type="cellIs" dxfId="69" priority="182" operator="equal">
      <formula>"Marginal"</formula>
    </cfRule>
    <cfRule type="cellIs" dxfId="68" priority="165" operator="equal">
      <formula>"Moderate"</formula>
    </cfRule>
    <cfRule type="cellIs" dxfId="67" priority="183" operator="equal">
      <formula>"Negligible"</formula>
    </cfRule>
    <cfRule type="cellIs" dxfId="66" priority="181" operator="equal">
      <formula>"Critical"</formula>
    </cfRule>
    <cfRule type="cellIs" dxfId="65" priority="167" operator="equal">
      <formula>"Negligible"</formula>
    </cfRule>
    <cfRule type="cellIs" dxfId="64" priority="166" operator="equal">
      <formula>"Lower"</formula>
    </cfRule>
    <cfRule type="cellIs" dxfId="63" priority="163" operator="equal">
      <formula>"Catastrophic"</formula>
    </cfRule>
    <cfRule type="cellIs" dxfId="62" priority="164" operator="equal">
      <formula>"Significant"</formula>
    </cfRule>
  </conditionalFormatting>
  <conditionalFormatting sqref="T78:T87">
    <cfRule type="cellIs" dxfId="61" priority="127" operator="equal">
      <formula>"Critical"</formula>
    </cfRule>
    <cfRule type="cellIs" dxfId="60" priority="109" operator="equal">
      <formula>"Catastrophic"</formula>
    </cfRule>
    <cfRule type="cellIs" dxfId="59" priority="129" operator="equal">
      <formula>"Negligible"</formula>
    </cfRule>
    <cfRule type="cellIs" dxfId="58" priority="128" operator="equal">
      <formula>"Marginal"</formula>
    </cfRule>
    <cfRule type="cellIs" dxfId="57" priority="113" operator="equal">
      <formula>"Negligible"</formula>
    </cfRule>
    <cfRule type="cellIs" dxfId="56" priority="112" operator="equal">
      <formula>"Lower"</formula>
    </cfRule>
    <cfRule type="cellIs" dxfId="55" priority="111" operator="equal">
      <formula>"Moderate"</formula>
    </cfRule>
    <cfRule type="cellIs" dxfId="54" priority="110" operator="equal">
      <formula>"Significant"</formula>
    </cfRule>
  </conditionalFormatting>
  <conditionalFormatting sqref="T90:T99">
    <cfRule type="cellIs" dxfId="53" priority="59" operator="equal">
      <formula>"Negligible"</formula>
    </cfRule>
    <cfRule type="cellIs" dxfId="52" priority="75" operator="equal">
      <formula>"Negligible"</formula>
    </cfRule>
    <cfRule type="cellIs" dxfId="51" priority="74" operator="equal">
      <formula>"Marginal"</formula>
    </cfRule>
    <cfRule type="cellIs" dxfId="50" priority="73" operator="equal">
      <formula>"Critical"</formula>
    </cfRule>
    <cfRule type="cellIs" dxfId="49" priority="55" operator="equal">
      <formula>"Catastrophic"</formula>
    </cfRule>
    <cfRule type="cellIs" dxfId="48" priority="58" operator="equal">
      <formula>"Lower"</formula>
    </cfRule>
    <cfRule type="cellIs" dxfId="47" priority="57" operator="equal">
      <formula>"Moderate"</formula>
    </cfRule>
    <cfRule type="cellIs" dxfId="46" priority="56" operator="equal">
      <formula>"Significant"</formula>
    </cfRule>
  </conditionalFormatting>
  <conditionalFormatting sqref="T102:T111">
    <cfRule type="cellIs" dxfId="45" priority="29" operator="equal">
      <formula>"Significant"</formula>
    </cfRule>
    <cfRule type="cellIs" dxfId="44" priority="48" operator="equal">
      <formula>"Negligible"</formula>
    </cfRule>
    <cfRule type="cellIs" dxfId="43" priority="47" operator="equal">
      <formula>"Marginal"</formula>
    </cfRule>
    <cfRule type="cellIs" dxfId="42" priority="46" operator="equal">
      <formula>"Critical"</formula>
    </cfRule>
    <cfRule type="cellIs" dxfId="41" priority="32" operator="equal">
      <formula>"Negligible"</formula>
    </cfRule>
    <cfRule type="cellIs" dxfId="40" priority="31" operator="equal">
      <formula>"Lower"</formula>
    </cfRule>
    <cfRule type="cellIs" dxfId="39" priority="30" operator="equal">
      <formula>"Moderate"</formula>
    </cfRule>
    <cfRule type="cellIs" dxfId="38" priority="28" operator="equal">
      <formula>"Catastrophic"</formula>
    </cfRule>
  </conditionalFormatting>
  <conditionalFormatting sqref="T114:T123">
    <cfRule type="cellIs" dxfId="37" priority="1" operator="equal">
      <formula>"Catastrophic"</formula>
    </cfRule>
    <cfRule type="cellIs" dxfId="36" priority="20" operator="equal">
      <formula>"Marginal"</formula>
    </cfRule>
    <cfRule type="cellIs" dxfId="35" priority="2" operator="equal">
      <formula>"Significant"</formula>
    </cfRule>
    <cfRule type="cellIs" dxfId="34" priority="3" operator="equal">
      <formula>"Moderate"</formula>
    </cfRule>
    <cfRule type="cellIs" dxfId="33" priority="21" operator="equal">
      <formula>"Negligible"</formula>
    </cfRule>
    <cfRule type="cellIs" dxfId="32" priority="19" operator="equal">
      <formula>"Critical"</formula>
    </cfRule>
    <cfRule type="cellIs" dxfId="31" priority="4" operator="equal">
      <formula>"Lower"</formula>
    </cfRule>
    <cfRule type="cellIs" dxfId="30" priority="5" operator="equal">
      <formula>"Negligible"</formula>
    </cfRule>
  </conditionalFormatting>
  <conditionalFormatting sqref="U5:V5">
    <cfRule type="cellIs" dxfId="29" priority="1464" operator="equal">
      <formula>"Improbable"</formula>
    </cfRule>
  </conditionalFormatting>
  <conditionalFormatting sqref="U17:V17">
    <cfRule type="cellIs" dxfId="28" priority="1354" operator="equal">
      <formula>"Improbable"</formula>
    </cfRule>
  </conditionalFormatting>
  <conditionalFormatting sqref="U29:V29">
    <cfRule type="cellIs" dxfId="27" priority="1321" operator="equal">
      <formula>"Improbable"</formula>
    </cfRule>
  </conditionalFormatting>
  <conditionalFormatting sqref="U41:V41">
    <cfRule type="cellIs" dxfId="26" priority="1288" operator="equal">
      <formula>"Improbable"</formula>
    </cfRule>
  </conditionalFormatting>
  <conditionalFormatting sqref="U53:V53">
    <cfRule type="cellIs" dxfId="25" priority="1255" operator="equal">
      <formula>"Improbable"</formula>
    </cfRule>
  </conditionalFormatting>
  <conditionalFormatting sqref="U65:V65">
    <cfRule type="cellIs" dxfId="24" priority="1222" operator="equal">
      <formula>"Improbable"</formula>
    </cfRule>
  </conditionalFormatting>
  <conditionalFormatting sqref="U77:V77">
    <cfRule type="cellIs" dxfId="23" priority="1189" operator="equal">
      <formula>"Improbable"</formula>
    </cfRule>
  </conditionalFormatting>
  <conditionalFormatting sqref="U9:W9 U10 W10">
    <cfRule type="cellIs" dxfId="22" priority="1487" operator="equal">
      <formula>"Medium"</formula>
    </cfRule>
  </conditionalFormatting>
  <conditionalFormatting sqref="U21:W21">
    <cfRule type="cellIs" dxfId="21" priority="1357" operator="equal">
      <formula>"Medium"</formula>
    </cfRule>
    <cfRule type="dataBar" priority="1355">
      <dataBar>
        <cfvo type="min"/>
        <cfvo type="max"/>
        <color rgb="FF638EC6"/>
      </dataBar>
      <extLst>
        <ext xmlns:x14="http://schemas.microsoft.com/office/spreadsheetml/2009/9/main" uri="{B025F937-C7B1-47D3-B67F-A62EFF666E3E}">
          <x14:id>{EA7D520C-1E1F-D64B-BDC6-5353C1A965B7}</x14:id>
        </ext>
      </extLst>
    </cfRule>
    <cfRule type="cellIs" dxfId="20" priority="1358" operator="equal">
      <formula>"Low"</formula>
    </cfRule>
    <cfRule type="colorScale" priority="1356">
      <colorScale>
        <cfvo type="min"/>
        <cfvo type="max"/>
        <color rgb="FFFF7128"/>
        <color rgb="FFFFEF9C"/>
      </colorScale>
    </cfRule>
    <cfRule type="colorScale" priority="1359">
      <colorScale>
        <cfvo type="min"/>
        <cfvo type="max"/>
        <color rgb="FFFF7128"/>
        <color rgb="FFFFEF9C"/>
      </colorScale>
    </cfRule>
  </conditionalFormatting>
  <conditionalFormatting sqref="U33:W33">
    <cfRule type="colorScale" priority="1323">
      <colorScale>
        <cfvo type="min"/>
        <cfvo type="max"/>
        <color rgb="FFFF7128"/>
        <color rgb="FFFFEF9C"/>
      </colorScale>
    </cfRule>
    <cfRule type="dataBar" priority="1322">
      <dataBar>
        <cfvo type="min"/>
        <cfvo type="max"/>
        <color rgb="FF638EC6"/>
      </dataBar>
      <extLst>
        <ext xmlns:x14="http://schemas.microsoft.com/office/spreadsheetml/2009/9/main" uri="{B025F937-C7B1-47D3-B67F-A62EFF666E3E}">
          <x14:id>{FECCC376-0C38-0149-BFD9-0371E3FD1349}</x14:id>
        </ext>
      </extLst>
    </cfRule>
    <cfRule type="colorScale" priority="1326">
      <colorScale>
        <cfvo type="min"/>
        <cfvo type="max"/>
        <color rgb="FFFF7128"/>
        <color rgb="FFFFEF9C"/>
      </colorScale>
    </cfRule>
    <cfRule type="cellIs" dxfId="19" priority="1325" operator="equal">
      <formula>"Low"</formula>
    </cfRule>
    <cfRule type="cellIs" dxfId="18" priority="1324" operator="equal">
      <formula>"Medium"</formula>
    </cfRule>
  </conditionalFormatting>
  <conditionalFormatting sqref="U45:W45">
    <cfRule type="cellIs" dxfId="17" priority="1291" operator="equal">
      <formula>"Medium"</formula>
    </cfRule>
    <cfRule type="colorScale" priority="1290">
      <colorScale>
        <cfvo type="min"/>
        <cfvo type="max"/>
        <color rgb="FFFF7128"/>
        <color rgb="FFFFEF9C"/>
      </colorScale>
    </cfRule>
    <cfRule type="colorScale" priority="1293">
      <colorScale>
        <cfvo type="min"/>
        <cfvo type="max"/>
        <color rgb="FFFF7128"/>
        <color rgb="FFFFEF9C"/>
      </colorScale>
    </cfRule>
    <cfRule type="dataBar" priority="1289">
      <dataBar>
        <cfvo type="min"/>
        <cfvo type="max"/>
        <color rgb="FF638EC6"/>
      </dataBar>
      <extLst>
        <ext xmlns:x14="http://schemas.microsoft.com/office/spreadsheetml/2009/9/main" uri="{B025F937-C7B1-47D3-B67F-A62EFF666E3E}">
          <x14:id>{FE485CA5-C185-1746-8689-AD6C582AC601}</x14:id>
        </ext>
      </extLst>
    </cfRule>
    <cfRule type="cellIs" dxfId="16" priority="1292" operator="equal">
      <formula>"Low"</formula>
    </cfRule>
  </conditionalFormatting>
  <conditionalFormatting sqref="U57:W57">
    <cfRule type="colorScale" priority="1260">
      <colorScale>
        <cfvo type="min"/>
        <cfvo type="max"/>
        <color rgb="FFFF7128"/>
        <color rgb="FFFFEF9C"/>
      </colorScale>
    </cfRule>
    <cfRule type="cellIs" dxfId="15" priority="1258" operator="equal">
      <formula>"Medium"</formula>
    </cfRule>
    <cfRule type="colorScale" priority="1257">
      <colorScale>
        <cfvo type="min"/>
        <cfvo type="max"/>
        <color rgb="FFFF7128"/>
        <color rgb="FFFFEF9C"/>
      </colorScale>
    </cfRule>
    <cfRule type="dataBar" priority="1256">
      <dataBar>
        <cfvo type="min"/>
        <cfvo type="max"/>
        <color rgb="FF638EC6"/>
      </dataBar>
      <extLst>
        <ext xmlns:x14="http://schemas.microsoft.com/office/spreadsheetml/2009/9/main" uri="{B025F937-C7B1-47D3-B67F-A62EFF666E3E}">
          <x14:id>{830DB2A3-9D68-294F-B48D-02AD4A8EA5E5}</x14:id>
        </ext>
      </extLst>
    </cfRule>
    <cfRule type="cellIs" dxfId="14" priority="1259" operator="equal">
      <formula>"Low"</formula>
    </cfRule>
  </conditionalFormatting>
  <conditionalFormatting sqref="U69:W69">
    <cfRule type="cellIs" dxfId="13" priority="1226" operator="equal">
      <formula>"Low"</formula>
    </cfRule>
    <cfRule type="colorScale" priority="1227">
      <colorScale>
        <cfvo type="min"/>
        <cfvo type="max"/>
        <color rgb="FFFF7128"/>
        <color rgb="FFFFEF9C"/>
      </colorScale>
    </cfRule>
    <cfRule type="cellIs" dxfId="12" priority="1225" operator="equal">
      <formula>"Medium"</formula>
    </cfRule>
    <cfRule type="colorScale" priority="1224">
      <colorScale>
        <cfvo type="min"/>
        <cfvo type="max"/>
        <color rgb="FFFF7128"/>
        <color rgb="FFFFEF9C"/>
      </colorScale>
    </cfRule>
    <cfRule type="dataBar" priority="1223">
      <dataBar>
        <cfvo type="min"/>
        <cfvo type="max"/>
        <color rgb="FF638EC6"/>
      </dataBar>
      <extLst>
        <ext xmlns:x14="http://schemas.microsoft.com/office/spreadsheetml/2009/9/main" uri="{B025F937-C7B1-47D3-B67F-A62EFF666E3E}">
          <x14:id>{2C46B56A-43AF-AF41-B184-F19A31861B78}</x14:id>
        </ext>
      </extLst>
    </cfRule>
  </conditionalFormatting>
  <conditionalFormatting sqref="U81:W81">
    <cfRule type="dataBar" priority="1190">
      <dataBar>
        <cfvo type="min"/>
        <cfvo type="max"/>
        <color rgb="FF638EC6"/>
      </dataBar>
      <extLst>
        <ext xmlns:x14="http://schemas.microsoft.com/office/spreadsheetml/2009/9/main" uri="{B025F937-C7B1-47D3-B67F-A62EFF666E3E}">
          <x14:id>{7851B056-1886-6242-9448-B5F5452D1214}</x14:id>
        </ext>
      </extLst>
    </cfRule>
    <cfRule type="colorScale" priority="1194">
      <colorScale>
        <cfvo type="min"/>
        <cfvo type="max"/>
        <color rgb="FFFF7128"/>
        <color rgb="FFFFEF9C"/>
      </colorScale>
    </cfRule>
    <cfRule type="cellIs" dxfId="11" priority="1192" operator="equal">
      <formula>"Medium"</formula>
    </cfRule>
    <cfRule type="colorScale" priority="1191">
      <colorScale>
        <cfvo type="min"/>
        <cfvo type="max"/>
        <color rgb="FFFF7128"/>
        <color rgb="FFFFEF9C"/>
      </colorScale>
    </cfRule>
    <cfRule type="cellIs" dxfId="10" priority="1193" operator="equal">
      <formula>"Low"</formula>
    </cfRule>
  </conditionalFormatting>
  <conditionalFormatting sqref="X4">
    <cfRule type="cellIs" dxfId="9" priority="1479" operator="equal">
      <formula>"Low"</formula>
    </cfRule>
    <cfRule type="cellIs" dxfId="8" priority="1478" operator="equal">
      <formula>"Medium"</formula>
    </cfRule>
    <cfRule type="cellIs" dxfId="7" priority="1477" operator="equal">
      <formula>"High"</formula>
    </cfRule>
    <cfRule type="cellIs" dxfId="6" priority="1476" operator="equal">
      <formula>"Very High"</formula>
    </cfRule>
  </conditionalFormatting>
  <conditionalFormatting sqref="Z4 Z6:Z7 U9:W9 U10 W10">
    <cfRule type="cellIs" dxfId="5" priority="1488" operator="equal">
      <formula>"Low"</formula>
    </cfRule>
  </conditionalFormatting>
  <conditionalFormatting sqref="Z6">
    <cfRule type="cellIs" dxfId="4" priority="1486" operator="equal">
      <formula>"High"</formula>
    </cfRule>
  </conditionalFormatting>
  <conditionalFormatting sqref="Z6:Z7 Z4 U9:W9 U10 W10">
    <cfRule type="colorScale" priority="1490">
      <colorScale>
        <cfvo type="min"/>
        <cfvo type="max"/>
        <color rgb="FFFF7128"/>
        <color rgb="FFFFEF9C"/>
      </colorScale>
    </cfRule>
    <cfRule type="colorScale" priority="1483">
      <colorScale>
        <cfvo type="min"/>
        <cfvo type="max"/>
        <color rgb="FFFF7128"/>
        <color rgb="FFFFEF9C"/>
      </colorScale>
    </cfRule>
    <cfRule type="dataBar" priority="1480">
      <dataBar>
        <cfvo type="min"/>
        <cfvo type="max"/>
        <color rgb="FF638EC6"/>
      </dataBar>
      <extLst>
        <ext xmlns:x14="http://schemas.microsoft.com/office/spreadsheetml/2009/9/main" uri="{B025F937-C7B1-47D3-B67F-A62EFF666E3E}">
          <x14:id>{E9BA062F-11E0-DA40-A007-CD9EC59F93CB}</x14:id>
        </ext>
      </extLst>
    </cfRule>
  </conditionalFormatting>
  <conditionalFormatting sqref="Z7">
    <cfRule type="cellIs" dxfId="3" priority="1485" operator="equal">
      <formula>"Very High"</formula>
    </cfRule>
  </conditionalFormatting>
  <dataValidations count="11">
    <dataValidation type="list" allowBlank="1" showInputMessage="1" showErrorMessage="1" sqref="K5:K15 K17:K27 K30:K39 K42:K51 K54:K63 K66:K75 K78:K87 K90:K99 K102:K111 K114:K123" xr:uid="{098F9404-4EA1-9C44-8372-B92DC91F1F50}">
      <formula1>"Preventive,Detective"</formula1>
    </dataValidation>
    <dataValidation type="list" allowBlank="1" showInputMessage="1" showErrorMessage="1" sqref="G30:G39 G18:G27 G7:G15 G42:G51 G54:G63 G66:G75 G78:G87 G90:G99 G102:G111 G114:G123" xr:uid="{0C5C06DA-9D84-B545-99DB-6157E9A6094B}">
      <formula1>"Key risk,Secondary risk"</formula1>
    </dataValidation>
    <dataValidation type="list" allowBlank="1" showInputMessage="1" showErrorMessage="1" sqref="M6:M15 M18:M27 M30:M39 M42:M51 M54:M63 M66:M75 M78:M87 M90:M99 M102:M111 M114:M123" xr:uid="{279335C1-42CB-5644-8A51-80568D253161}">
      <formula1>"Once-off,Hourly,Daily,Weekly,Monthly,Annually,Per business transaction"</formula1>
    </dataValidation>
    <dataValidation type="list" allowBlank="1" showInputMessage="1" showErrorMessage="1" sqref="N6:N15 N18:N27 N30:N39 N42:N51 N54:N63 N66:N75 N78:N87 N90:N99 N102:N111 N114:N123" xr:uid="{69ADA620-EBCA-604F-AB8D-892B689BCD73}">
      <formula1>"Signature,System time stemp, Meeting minutes,Committe or Board decision"</formula1>
    </dataValidation>
    <dataValidation type="list" showInputMessage="1" showErrorMessage="1" promptTitle="Time Series" prompt="Identify the source of data, frequency of this risk factor; perform trend analysis,compute moments, forecast, probability distribution and the exposure (financially) with a view to determine a precision at 95% confidence.  Moments (mean, std dev, skewness" sqref="I6:I15 I18:I27 I30:I39 I42:I51 I54:I63 I66:I75 I78:I87 I90:I99 I102:I111 I114:I123" xr:uid="{7EF3EE6A-A64F-1A47-B64F-D008F1ACB2AE}">
      <formula1>"Time Series, Once-off,Periodic"</formula1>
    </dataValidation>
    <dataValidation type="list" allowBlank="1" showInputMessage="1" showErrorMessage="1" sqref="E90 S102 S114" xr:uid="{281C22D9-2217-5941-BDB9-251252E10EDB}">
      <formula1>$U$5:$U$9</formula1>
    </dataValidation>
    <dataValidation type="list" allowBlank="1" showInputMessage="1" showErrorMessage="1" sqref="F90 T102 T114" xr:uid="{C93827FB-DC3C-6849-834B-8C6E5858F9A2}">
      <formula1>$W$5:$W$9</formula1>
    </dataValidation>
    <dataValidation type="list" allowBlank="1" showInputMessage="1" showErrorMessage="1" sqref="E6:E15 E18:E27 E30:E39 E42:E51 E54:E63 E66:E75 E78:E87 E91:E99 E102:E111 E114:E123 S6:S15 S18:S27 S30:S39 S42:S51 S54:S63 S66:S75 S78:S87 S90:S99 S103:S111 S115:S123" xr:uid="{E044184C-799D-6641-9455-1EEBFAC111F4}">
      <formula1>$U$5:$U$10</formula1>
    </dataValidation>
    <dataValidation type="list" allowBlank="1" showInputMessage="1" showErrorMessage="1" sqref="F6:F15 F18:F27 F30:F39 F42:F51 F54:F63 F66:F75 F78:F87 F91:F99 F102:F111 F114:F123 T6:T15 T18:T27 T30:T39 T42:T51 T54:T63 T66:T75 T78:T87 T90:T99 T103:T111 T115:T123" xr:uid="{F654C19F-A965-AC4D-B2A0-D8D72F1D1C8F}">
      <formula1>$W$5:$W$10</formula1>
    </dataValidation>
    <dataValidation type="list" allowBlank="1" showInputMessage="1" showErrorMessage="1" sqref="G6" xr:uid="{C242147B-2D66-6D48-86F3-2F687BBBD36E}">
      <formula1>"Key risk,Secondary risk,N/A"</formula1>
    </dataValidation>
    <dataValidation type="list" showInputMessage="1" showErrorMessage="1" sqref="H6:H15 H18:H27 H30:H39 H42:H51 H54:H63 H66:H75 H78:H87 H90:H99 H102:H111 H114:H123" xr:uid="{19056223-A242-F547-84E3-6BA4767FAE09}">
      <formula1>"Concentration Risk,Compliance Risk,Environmental Risk,Health and Safety Risk,Liquidity Risk,Market Risk,Operational Risk,Project Risk,Reputational Risk,Strategic Risk"</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30BDB08-F744-EC4B-92AA-C3D6501CB4C0}">
            <x14:dataBar minLength="0" maxLength="100" gradient="0">
              <x14:cfvo type="autoMin"/>
              <x14:cfvo type="autoMax"/>
              <x14:negativeFillColor rgb="FFFF0000"/>
              <x14:axisColor rgb="FF000000"/>
            </x14:dataBar>
          </x14:cfRule>
          <xm:sqref>E6:E15</xm:sqref>
        </x14:conditionalFormatting>
        <x14:conditionalFormatting xmlns:xm="http://schemas.microsoft.com/office/excel/2006/main">
          <x14:cfRule type="dataBar" id="{61C6A6A5-E2B2-BD47-A987-B22D1730D2CF}">
            <x14:dataBar minLength="0" maxLength="100" gradient="0">
              <x14:cfvo type="autoMin"/>
              <x14:cfvo type="autoMax"/>
              <x14:negativeFillColor rgb="FFFF0000"/>
              <x14:axisColor rgb="FF000000"/>
            </x14:dataBar>
          </x14:cfRule>
          <xm:sqref>E18:E27</xm:sqref>
        </x14:conditionalFormatting>
        <x14:conditionalFormatting xmlns:xm="http://schemas.microsoft.com/office/excel/2006/main">
          <x14:cfRule type="dataBar" id="{5141D737-F15C-B146-8F81-B839159C48CE}">
            <x14:dataBar minLength="0" maxLength="100" gradient="0">
              <x14:cfvo type="autoMin"/>
              <x14:cfvo type="autoMax"/>
              <x14:negativeFillColor rgb="FFFF0000"/>
              <x14:axisColor rgb="FF000000"/>
            </x14:dataBar>
          </x14:cfRule>
          <xm:sqref>E30</xm:sqref>
        </x14:conditionalFormatting>
        <x14:conditionalFormatting xmlns:xm="http://schemas.microsoft.com/office/excel/2006/main">
          <x14:cfRule type="dataBar" id="{3208A993-0AA0-F747-97C2-EDB428085397}">
            <x14:dataBar minLength="0" maxLength="100" gradient="0">
              <x14:cfvo type="autoMin"/>
              <x14:cfvo type="autoMax"/>
              <x14:negativeFillColor rgb="FFFF0000"/>
              <x14:axisColor rgb="FF000000"/>
            </x14:dataBar>
          </x14:cfRule>
          <xm:sqref>E31:E39</xm:sqref>
        </x14:conditionalFormatting>
        <x14:conditionalFormatting xmlns:xm="http://schemas.microsoft.com/office/excel/2006/main">
          <x14:cfRule type="dataBar" id="{D44231CC-05FA-EC46-8622-98CBB588488E}">
            <x14:dataBar minLength="0" maxLength="100" gradient="0">
              <x14:cfvo type="autoMin"/>
              <x14:cfvo type="autoMax"/>
              <x14:negativeFillColor rgb="FFFF0000"/>
              <x14:axisColor rgb="FF000000"/>
            </x14:dataBar>
          </x14:cfRule>
          <xm:sqref>E42</xm:sqref>
        </x14:conditionalFormatting>
        <x14:conditionalFormatting xmlns:xm="http://schemas.microsoft.com/office/excel/2006/main">
          <x14:cfRule type="dataBar" id="{C27C0754-2897-F147-B329-B62C2C082804}">
            <x14:dataBar minLength="0" maxLength="100" gradient="0">
              <x14:cfvo type="autoMin"/>
              <x14:cfvo type="autoMax"/>
              <x14:negativeFillColor rgb="FFFF0000"/>
              <x14:axisColor rgb="FF000000"/>
            </x14:dataBar>
          </x14:cfRule>
          <xm:sqref>E43:E51</xm:sqref>
        </x14:conditionalFormatting>
        <x14:conditionalFormatting xmlns:xm="http://schemas.microsoft.com/office/excel/2006/main">
          <x14:cfRule type="dataBar" id="{B7BD20BD-36ED-524C-85E7-7B05E9C3CAE3}">
            <x14:dataBar minLength="0" maxLength="100" gradient="0">
              <x14:cfvo type="autoMin"/>
              <x14:cfvo type="autoMax"/>
              <x14:negativeFillColor rgb="FFFF0000"/>
              <x14:axisColor rgb="FF000000"/>
            </x14:dataBar>
          </x14:cfRule>
          <xm:sqref>E54</xm:sqref>
        </x14:conditionalFormatting>
        <x14:conditionalFormatting xmlns:xm="http://schemas.microsoft.com/office/excel/2006/main">
          <x14:cfRule type="dataBar" id="{B36466AE-5B55-1340-8E04-789E3B0A32D6}">
            <x14:dataBar minLength="0" maxLength="100" gradient="0">
              <x14:cfvo type="autoMin"/>
              <x14:cfvo type="autoMax"/>
              <x14:negativeFillColor rgb="FFFF0000"/>
              <x14:axisColor rgb="FF000000"/>
            </x14:dataBar>
          </x14:cfRule>
          <xm:sqref>E55:E63</xm:sqref>
        </x14:conditionalFormatting>
        <x14:conditionalFormatting xmlns:xm="http://schemas.microsoft.com/office/excel/2006/main">
          <x14:cfRule type="dataBar" id="{3680A951-7CB3-424F-8C85-E7D0863C5E7D}">
            <x14:dataBar minLength="0" maxLength="100" gradient="0">
              <x14:cfvo type="autoMin"/>
              <x14:cfvo type="autoMax"/>
              <x14:negativeFillColor rgb="FFFF0000"/>
              <x14:axisColor rgb="FF000000"/>
            </x14:dataBar>
          </x14:cfRule>
          <xm:sqref>E66</xm:sqref>
        </x14:conditionalFormatting>
        <x14:conditionalFormatting xmlns:xm="http://schemas.microsoft.com/office/excel/2006/main">
          <x14:cfRule type="dataBar" id="{0EEC11B4-DD98-2C4A-9C75-408127E9F106}">
            <x14:dataBar minLength="0" maxLength="100" gradient="0">
              <x14:cfvo type="autoMin"/>
              <x14:cfvo type="autoMax"/>
              <x14:negativeFillColor rgb="FFFF0000"/>
              <x14:axisColor rgb="FF000000"/>
            </x14:dataBar>
          </x14:cfRule>
          <xm:sqref>E67:E75</xm:sqref>
        </x14:conditionalFormatting>
        <x14:conditionalFormatting xmlns:xm="http://schemas.microsoft.com/office/excel/2006/main">
          <x14:cfRule type="dataBar" id="{B3DB306D-B6FF-EE4A-9922-30DD411ACD3D}">
            <x14:dataBar minLength="0" maxLength="100" gradient="0">
              <x14:cfvo type="autoMin"/>
              <x14:cfvo type="autoMax"/>
              <x14:negativeFillColor rgb="FFFF0000"/>
              <x14:axisColor rgb="FF000000"/>
            </x14:dataBar>
          </x14:cfRule>
          <xm:sqref>E78</xm:sqref>
        </x14:conditionalFormatting>
        <x14:conditionalFormatting xmlns:xm="http://schemas.microsoft.com/office/excel/2006/main">
          <x14:cfRule type="dataBar" id="{423ABDEF-6A29-3945-B6E0-76115A2D0B00}">
            <x14:dataBar minLength="0" maxLength="100" gradient="0">
              <x14:cfvo type="autoMin"/>
              <x14:cfvo type="autoMax"/>
              <x14:negativeFillColor rgb="FFFF0000"/>
              <x14:axisColor rgb="FF000000"/>
            </x14:dataBar>
          </x14:cfRule>
          <xm:sqref>E79:E87</xm:sqref>
        </x14:conditionalFormatting>
        <x14:conditionalFormatting xmlns:xm="http://schemas.microsoft.com/office/excel/2006/main">
          <x14:cfRule type="dataBar" id="{601A2291-16D3-6342-82FF-53EF8870EF14}">
            <x14:dataBar minLength="0" maxLength="100" gradient="0">
              <x14:cfvo type="autoMin"/>
              <x14:cfvo type="autoMax"/>
              <x14:negativeFillColor rgb="FFFF0000"/>
              <x14:axisColor rgb="FF000000"/>
            </x14:dataBar>
          </x14:cfRule>
          <xm:sqref>E90</xm:sqref>
        </x14:conditionalFormatting>
        <x14:conditionalFormatting xmlns:xm="http://schemas.microsoft.com/office/excel/2006/main">
          <x14:cfRule type="dataBar" id="{A4B53193-2AB3-8F46-85B8-09636E6FAF5C}">
            <x14:dataBar minLength="0" maxLength="100" gradient="0">
              <x14:cfvo type="autoMin"/>
              <x14:cfvo type="autoMax"/>
              <x14:negativeFillColor rgb="FFFF0000"/>
              <x14:axisColor rgb="FF000000"/>
            </x14:dataBar>
          </x14:cfRule>
          <xm:sqref>E91:E99</xm:sqref>
        </x14:conditionalFormatting>
        <x14:conditionalFormatting xmlns:xm="http://schemas.microsoft.com/office/excel/2006/main">
          <x14:cfRule type="dataBar" id="{3A22B39E-BA6C-D84F-98D3-5D741F59B77B}">
            <x14:dataBar minLength="0" maxLength="100" gradient="0">
              <x14:cfvo type="autoMin"/>
              <x14:cfvo type="autoMax"/>
              <x14:negativeFillColor rgb="FFFF0000"/>
              <x14:axisColor rgb="FF000000"/>
            </x14:dataBar>
          </x14:cfRule>
          <xm:sqref>E102</xm:sqref>
        </x14:conditionalFormatting>
        <x14:conditionalFormatting xmlns:xm="http://schemas.microsoft.com/office/excel/2006/main">
          <x14:cfRule type="dataBar" id="{FF813B11-5921-4348-8EE8-444B5525F6C2}">
            <x14:dataBar minLength="0" maxLength="100" gradient="0">
              <x14:cfvo type="autoMin"/>
              <x14:cfvo type="autoMax"/>
              <x14:negativeFillColor rgb="FFFF0000"/>
              <x14:axisColor rgb="FF000000"/>
            </x14:dataBar>
          </x14:cfRule>
          <xm:sqref>E103:E111</xm:sqref>
        </x14:conditionalFormatting>
        <x14:conditionalFormatting xmlns:xm="http://schemas.microsoft.com/office/excel/2006/main">
          <x14:cfRule type="dataBar" id="{17653025-902A-3343-BEE8-EC9E4EFC4B36}">
            <x14:dataBar minLength="0" maxLength="100" gradient="0">
              <x14:cfvo type="autoMin"/>
              <x14:cfvo type="autoMax"/>
              <x14:negativeFillColor rgb="FFFF0000"/>
              <x14:axisColor rgb="FF000000"/>
            </x14:dataBar>
          </x14:cfRule>
          <xm:sqref>E114</xm:sqref>
        </x14:conditionalFormatting>
        <x14:conditionalFormatting xmlns:xm="http://schemas.microsoft.com/office/excel/2006/main">
          <x14:cfRule type="dataBar" id="{466566BD-1972-2346-867C-D4C5C5723EA1}">
            <x14:dataBar minLength="0" maxLength="100" gradient="0">
              <x14:cfvo type="autoMin"/>
              <x14:cfvo type="autoMax"/>
              <x14:negativeFillColor rgb="FFFF0000"/>
              <x14:axisColor rgb="FF000000"/>
            </x14:dataBar>
          </x14:cfRule>
          <xm:sqref>E115:E123</xm:sqref>
        </x14:conditionalFormatting>
        <x14:conditionalFormatting xmlns:xm="http://schemas.microsoft.com/office/excel/2006/main">
          <x14:cfRule type="dataBar" id="{7BC9C531-186F-CA4D-954E-9371E6174D47}">
            <x14:dataBar minLength="0" maxLength="100" gradient="0">
              <x14:cfvo type="autoMin"/>
              <x14:cfvo type="autoMax"/>
              <x14:negativeFillColor rgb="FFFF0000"/>
              <x14:axisColor rgb="FF000000"/>
            </x14:dataBar>
          </x14:cfRule>
          <xm:sqref>S6:S15</xm:sqref>
        </x14:conditionalFormatting>
        <x14:conditionalFormatting xmlns:xm="http://schemas.microsoft.com/office/excel/2006/main">
          <x14:cfRule type="dataBar" id="{6143C381-9871-E340-B6F4-DEE058B1F6A1}">
            <x14:dataBar minLength="0" maxLength="100" gradient="0">
              <x14:cfvo type="autoMin"/>
              <x14:cfvo type="autoMax"/>
              <x14:negativeFillColor rgb="FFFF0000"/>
              <x14:axisColor rgb="FF000000"/>
            </x14:dataBar>
          </x14:cfRule>
          <xm:sqref>S18</xm:sqref>
        </x14:conditionalFormatting>
        <x14:conditionalFormatting xmlns:xm="http://schemas.microsoft.com/office/excel/2006/main">
          <x14:cfRule type="dataBar" id="{04F72258-4D84-9149-90B0-577652EF8B8C}">
            <x14:dataBar minLength="0" maxLength="100" gradient="0">
              <x14:cfvo type="autoMin"/>
              <x14:cfvo type="autoMax"/>
              <x14:negativeFillColor rgb="FFFF0000"/>
              <x14:axisColor rgb="FF000000"/>
            </x14:dataBar>
          </x14:cfRule>
          <xm:sqref>S19:S27</xm:sqref>
        </x14:conditionalFormatting>
        <x14:conditionalFormatting xmlns:xm="http://schemas.microsoft.com/office/excel/2006/main">
          <x14:cfRule type="dataBar" id="{3A688321-A6F8-3944-A66C-DAEB5841A396}">
            <x14:dataBar minLength="0" maxLength="100" gradient="0">
              <x14:cfvo type="autoMin"/>
              <x14:cfvo type="autoMax"/>
              <x14:negativeFillColor rgb="FFFF0000"/>
              <x14:axisColor rgb="FF000000"/>
            </x14:dataBar>
          </x14:cfRule>
          <xm:sqref>S30</xm:sqref>
        </x14:conditionalFormatting>
        <x14:conditionalFormatting xmlns:xm="http://schemas.microsoft.com/office/excel/2006/main">
          <x14:cfRule type="dataBar" id="{FAA4E75D-3EE6-9446-9C27-12BEFED274F9}">
            <x14:dataBar minLength="0" maxLength="100" gradient="0">
              <x14:cfvo type="autoMin"/>
              <x14:cfvo type="autoMax"/>
              <x14:negativeFillColor rgb="FFFF0000"/>
              <x14:axisColor rgb="FF000000"/>
            </x14:dataBar>
          </x14:cfRule>
          <xm:sqref>S31:S39</xm:sqref>
        </x14:conditionalFormatting>
        <x14:conditionalFormatting xmlns:xm="http://schemas.microsoft.com/office/excel/2006/main">
          <x14:cfRule type="dataBar" id="{D191B92C-76D5-FB40-BF97-5E7BD84BE64B}">
            <x14:dataBar minLength="0" maxLength="100" gradient="0">
              <x14:cfvo type="autoMin"/>
              <x14:cfvo type="autoMax"/>
              <x14:negativeFillColor rgb="FFFF0000"/>
              <x14:axisColor rgb="FF000000"/>
            </x14:dataBar>
          </x14:cfRule>
          <xm:sqref>S42</xm:sqref>
        </x14:conditionalFormatting>
        <x14:conditionalFormatting xmlns:xm="http://schemas.microsoft.com/office/excel/2006/main">
          <x14:cfRule type="dataBar" id="{B65670D8-184B-A542-B92E-03E44C37A410}">
            <x14:dataBar minLength="0" maxLength="100" gradient="0">
              <x14:cfvo type="autoMin"/>
              <x14:cfvo type="autoMax"/>
              <x14:negativeFillColor rgb="FFFF0000"/>
              <x14:axisColor rgb="FF000000"/>
            </x14:dataBar>
          </x14:cfRule>
          <xm:sqref>S43:S51</xm:sqref>
        </x14:conditionalFormatting>
        <x14:conditionalFormatting xmlns:xm="http://schemas.microsoft.com/office/excel/2006/main">
          <x14:cfRule type="dataBar" id="{142A930A-B8EE-964F-87AA-EB4884DD9D8C}">
            <x14:dataBar minLength="0" maxLength="100" gradient="0">
              <x14:cfvo type="autoMin"/>
              <x14:cfvo type="autoMax"/>
              <x14:negativeFillColor rgb="FFFF0000"/>
              <x14:axisColor rgb="FF000000"/>
            </x14:dataBar>
          </x14:cfRule>
          <xm:sqref>S54</xm:sqref>
        </x14:conditionalFormatting>
        <x14:conditionalFormatting xmlns:xm="http://schemas.microsoft.com/office/excel/2006/main">
          <x14:cfRule type="dataBar" id="{CFA2E82E-801C-9845-A131-75337753F3B7}">
            <x14:dataBar minLength="0" maxLength="100" gradient="0">
              <x14:cfvo type="autoMin"/>
              <x14:cfvo type="autoMax"/>
              <x14:negativeFillColor rgb="FFFF0000"/>
              <x14:axisColor rgb="FF000000"/>
            </x14:dataBar>
          </x14:cfRule>
          <xm:sqref>S55:S63</xm:sqref>
        </x14:conditionalFormatting>
        <x14:conditionalFormatting xmlns:xm="http://schemas.microsoft.com/office/excel/2006/main">
          <x14:cfRule type="dataBar" id="{0B949CBB-B74B-8043-93B7-5AA6C376556D}">
            <x14:dataBar minLength="0" maxLength="100" gradient="0">
              <x14:cfvo type="autoMin"/>
              <x14:cfvo type="autoMax"/>
              <x14:negativeFillColor rgb="FFFF0000"/>
              <x14:axisColor rgb="FF000000"/>
            </x14:dataBar>
          </x14:cfRule>
          <xm:sqref>S66</xm:sqref>
        </x14:conditionalFormatting>
        <x14:conditionalFormatting xmlns:xm="http://schemas.microsoft.com/office/excel/2006/main">
          <x14:cfRule type="dataBar" id="{1E4E7981-C416-5B45-A762-3306DC7FD272}">
            <x14:dataBar minLength="0" maxLength="100" gradient="0">
              <x14:cfvo type="autoMin"/>
              <x14:cfvo type="autoMax"/>
              <x14:negativeFillColor rgb="FFFF0000"/>
              <x14:axisColor rgb="FF000000"/>
            </x14:dataBar>
          </x14:cfRule>
          <xm:sqref>S67:S75</xm:sqref>
        </x14:conditionalFormatting>
        <x14:conditionalFormatting xmlns:xm="http://schemas.microsoft.com/office/excel/2006/main">
          <x14:cfRule type="dataBar" id="{26C24C32-2AB8-8040-8F63-ABB3CC0FEEC1}">
            <x14:dataBar minLength="0" maxLength="100" gradient="0">
              <x14:cfvo type="autoMin"/>
              <x14:cfvo type="autoMax"/>
              <x14:negativeFillColor rgb="FFFF0000"/>
              <x14:axisColor rgb="FF000000"/>
            </x14:dataBar>
          </x14:cfRule>
          <xm:sqref>S78</xm:sqref>
        </x14:conditionalFormatting>
        <x14:conditionalFormatting xmlns:xm="http://schemas.microsoft.com/office/excel/2006/main">
          <x14:cfRule type="dataBar" id="{6B0447B3-5E95-0B48-A2C5-26DE3F047857}">
            <x14:dataBar minLength="0" maxLength="100" gradient="0">
              <x14:cfvo type="autoMin"/>
              <x14:cfvo type="autoMax"/>
              <x14:negativeFillColor rgb="FFFF0000"/>
              <x14:axisColor rgb="FF000000"/>
            </x14:dataBar>
          </x14:cfRule>
          <xm:sqref>S79:S87</xm:sqref>
        </x14:conditionalFormatting>
        <x14:conditionalFormatting xmlns:xm="http://schemas.microsoft.com/office/excel/2006/main">
          <x14:cfRule type="dataBar" id="{63CD617B-684F-854E-87DA-E1A5C776A1BD}">
            <x14:dataBar minLength="0" maxLength="100" gradient="0">
              <x14:cfvo type="autoMin"/>
              <x14:cfvo type="autoMax"/>
              <x14:negativeFillColor rgb="FFFF0000"/>
              <x14:axisColor rgb="FF000000"/>
            </x14:dataBar>
          </x14:cfRule>
          <xm:sqref>S90</xm:sqref>
        </x14:conditionalFormatting>
        <x14:conditionalFormatting xmlns:xm="http://schemas.microsoft.com/office/excel/2006/main">
          <x14:cfRule type="dataBar" id="{E43474EB-67DE-A042-9262-C0EAFBEA5F78}">
            <x14:dataBar minLength="0" maxLength="100" gradient="0">
              <x14:cfvo type="autoMin"/>
              <x14:cfvo type="autoMax"/>
              <x14:negativeFillColor rgb="FFFF0000"/>
              <x14:axisColor rgb="FF000000"/>
            </x14:dataBar>
          </x14:cfRule>
          <xm:sqref>S91:S99</xm:sqref>
        </x14:conditionalFormatting>
        <x14:conditionalFormatting xmlns:xm="http://schemas.microsoft.com/office/excel/2006/main">
          <x14:cfRule type="dataBar" id="{9A962157-DADF-EE46-9089-E7872CD764CC}">
            <x14:dataBar minLength="0" maxLength="100" gradient="0">
              <x14:cfvo type="autoMin"/>
              <x14:cfvo type="autoMax"/>
              <x14:negativeFillColor rgb="FFFF0000"/>
              <x14:axisColor rgb="FF000000"/>
            </x14:dataBar>
          </x14:cfRule>
          <xm:sqref>S102</xm:sqref>
        </x14:conditionalFormatting>
        <x14:conditionalFormatting xmlns:xm="http://schemas.microsoft.com/office/excel/2006/main">
          <x14:cfRule type="dataBar" id="{58AD0A0A-DE32-AD41-80C0-2E22B14B773C}">
            <x14:dataBar minLength="0" maxLength="100" gradient="0">
              <x14:cfvo type="autoMin"/>
              <x14:cfvo type="autoMax"/>
              <x14:negativeFillColor rgb="FFFF0000"/>
              <x14:axisColor rgb="FF000000"/>
            </x14:dataBar>
          </x14:cfRule>
          <xm:sqref>S103:S111</xm:sqref>
        </x14:conditionalFormatting>
        <x14:conditionalFormatting xmlns:xm="http://schemas.microsoft.com/office/excel/2006/main">
          <x14:cfRule type="dataBar" id="{1239AC0D-90F4-1C47-B2D9-BF7E31984794}">
            <x14:dataBar minLength="0" maxLength="100" gradient="0">
              <x14:cfvo type="autoMin"/>
              <x14:cfvo type="autoMax"/>
              <x14:negativeFillColor rgb="FFFF0000"/>
              <x14:axisColor rgb="FF000000"/>
            </x14:dataBar>
          </x14:cfRule>
          <xm:sqref>S114</xm:sqref>
        </x14:conditionalFormatting>
        <x14:conditionalFormatting xmlns:xm="http://schemas.microsoft.com/office/excel/2006/main">
          <x14:cfRule type="dataBar" id="{1F54CAE6-FD66-8443-B9AF-8B25CEA13108}">
            <x14:dataBar minLength="0" maxLength="100" gradient="0">
              <x14:cfvo type="autoMin"/>
              <x14:cfvo type="autoMax"/>
              <x14:negativeFillColor rgb="FFFF0000"/>
              <x14:axisColor rgb="FF000000"/>
            </x14:dataBar>
          </x14:cfRule>
          <xm:sqref>S115:S123</xm:sqref>
        </x14:conditionalFormatting>
        <x14:conditionalFormatting xmlns:xm="http://schemas.microsoft.com/office/excel/2006/main">
          <x14:cfRule type="dataBar" id="{EA7D520C-1E1F-D64B-BDC6-5353C1A965B7}">
            <x14:dataBar minLength="0" maxLength="100" gradient="0">
              <x14:cfvo type="autoMin"/>
              <x14:cfvo type="autoMax"/>
              <x14:negativeFillColor rgb="FFFF0000"/>
              <x14:axisColor rgb="FF000000"/>
            </x14:dataBar>
          </x14:cfRule>
          <xm:sqref>U21:W21</xm:sqref>
        </x14:conditionalFormatting>
        <x14:conditionalFormatting xmlns:xm="http://schemas.microsoft.com/office/excel/2006/main">
          <x14:cfRule type="dataBar" id="{FECCC376-0C38-0149-BFD9-0371E3FD1349}">
            <x14:dataBar minLength="0" maxLength="100" gradient="0">
              <x14:cfvo type="autoMin"/>
              <x14:cfvo type="autoMax"/>
              <x14:negativeFillColor rgb="FFFF0000"/>
              <x14:axisColor rgb="FF000000"/>
            </x14:dataBar>
          </x14:cfRule>
          <xm:sqref>U33:W33</xm:sqref>
        </x14:conditionalFormatting>
        <x14:conditionalFormatting xmlns:xm="http://schemas.microsoft.com/office/excel/2006/main">
          <x14:cfRule type="dataBar" id="{FE485CA5-C185-1746-8689-AD6C582AC601}">
            <x14:dataBar minLength="0" maxLength="100" gradient="0">
              <x14:cfvo type="autoMin"/>
              <x14:cfvo type="autoMax"/>
              <x14:negativeFillColor rgb="FFFF0000"/>
              <x14:axisColor rgb="FF000000"/>
            </x14:dataBar>
          </x14:cfRule>
          <xm:sqref>U45:W45</xm:sqref>
        </x14:conditionalFormatting>
        <x14:conditionalFormatting xmlns:xm="http://schemas.microsoft.com/office/excel/2006/main">
          <x14:cfRule type="dataBar" id="{830DB2A3-9D68-294F-B48D-02AD4A8EA5E5}">
            <x14:dataBar minLength="0" maxLength="100" gradient="0">
              <x14:cfvo type="autoMin"/>
              <x14:cfvo type="autoMax"/>
              <x14:negativeFillColor rgb="FFFF0000"/>
              <x14:axisColor rgb="FF000000"/>
            </x14:dataBar>
          </x14:cfRule>
          <xm:sqref>U57:W57</xm:sqref>
        </x14:conditionalFormatting>
        <x14:conditionalFormatting xmlns:xm="http://schemas.microsoft.com/office/excel/2006/main">
          <x14:cfRule type="dataBar" id="{2C46B56A-43AF-AF41-B184-F19A31861B78}">
            <x14:dataBar minLength="0" maxLength="100" gradient="0">
              <x14:cfvo type="autoMin"/>
              <x14:cfvo type="autoMax"/>
              <x14:negativeFillColor rgb="FFFF0000"/>
              <x14:axisColor rgb="FF000000"/>
            </x14:dataBar>
          </x14:cfRule>
          <xm:sqref>U69:W69</xm:sqref>
        </x14:conditionalFormatting>
        <x14:conditionalFormatting xmlns:xm="http://schemas.microsoft.com/office/excel/2006/main">
          <x14:cfRule type="dataBar" id="{7851B056-1886-6242-9448-B5F5452D1214}">
            <x14:dataBar minLength="0" maxLength="100" gradient="0">
              <x14:cfvo type="autoMin"/>
              <x14:cfvo type="autoMax"/>
              <x14:negativeFillColor rgb="FFFF0000"/>
              <x14:axisColor rgb="FF000000"/>
            </x14:dataBar>
          </x14:cfRule>
          <xm:sqref>U81:W81</xm:sqref>
        </x14:conditionalFormatting>
        <x14:conditionalFormatting xmlns:xm="http://schemas.microsoft.com/office/excel/2006/main">
          <x14:cfRule type="dataBar" id="{E9BA062F-11E0-DA40-A007-CD9EC59F93CB}">
            <x14:dataBar minLength="0" maxLength="100" gradient="0">
              <x14:cfvo type="autoMin"/>
              <x14:cfvo type="autoMax"/>
              <x14:negativeFillColor rgb="FFFF0000"/>
              <x14:axisColor rgb="FF000000"/>
            </x14:dataBar>
          </x14:cfRule>
          <xm:sqref>Z6:Z7 Z4 U9:W9 U10 W10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11B73-2DE0-E541-A7D5-367F58D2161D}">
  <dimension ref="A1:Q25"/>
  <sheetViews>
    <sheetView workbookViewId="0">
      <selection activeCell="N14" sqref="N14"/>
    </sheetView>
  </sheetViews>
  <sheetFormatPr baseColWidth="10" defaultRowHeight="16" x14ac:dyDescent="0.2"/>
  <cols>
    <col min="1" max="1" width="4.33203125" customWidth="1"/>
    <col min="9" max="9" width="4.6640625" customWidth="1"/>
  </cols>
  <sheetData>
    <row r="1" spans="1:17" ht="67" customHeight="1" x14ac:dyDescent="0.2">
      <c r="A1" s="70" t="s">
        <v>112</v>
      </c>
      <c r="B1" s="63"/>
      <c r="C1" s="63"/>
      <c r="D1" s="63"/>
      <c r="E1" s="63"/>
      <c r="F1" s="63"/>
      <c r="G1" s="63"/>
      <c r="H1" s="63"/>
      <c r="I1" s="63"/>
      <c r="J1" s="63"/>
      <c r="K1" s="63"/>
      <c r="L1" s="63"/>
      <c r="M1" s="63"/>
      <c r="N1" s="63"/>
      <c r="O1" s="63"/>
      <c r="P1" s="3"/>
      <c r="Q1" s="3"/>
    </row>
    <row r="2" spans="1:17" x14ac:dyDescent="0.2">
      <c r="A2" s="66" t="s">
        <v>19</v>
      </c>
      <c r="B2" s="71"/>
      <c r="C2" s="71"/>
      <c r="D2" s="71"/>
      <c r="E2" s="71"/>
      <c r="F2" s="71"/>
      <c r="G2" s="71"/>
      <c r="H2" s="71"/>
      <c r="I2" s="71"/>
      <c r="J2" s="71"/>
      <c r="K2" s="71"/>
      <c r="L2" s="71"/>
      <c r="M2" s="71"/>
      <c r="N2" s="71"/>
      <c r="O2" s="71"/>
    </row>
    <row r="3" spans="1:17" x14ac:dyDescent="0.2">
      <c r="C3" s="10" t="s">
        <v>55</v>
      </c>
      <c r="D3" s="10"/>
      <c r="K3" s="10" t="s">
        <v>56</v>
      </c>
    </row>
    <row r="5" spans="1:17" ht="39" customHeight="1" x14ac:dyDescent="0.2">
      <c r="A5" s="72" t="s">
        <v>42</v>
      </c>
      <c r="B5" s="8" t="s">
        <v>48</v>
      </c>
      <c r="C5" s="19" t="str">
        <f>IF(COUNTIFS(Main!$Z$33:$Z$42,HeatMap!C$10,Main!$AA$33:$AA$42,HeatMap!$B5)=0,"",COUNTIFS(Main!$Z$33:$Z$42,HeatMap!C$10,Main!$AA$33:$AA$42,HeatMap!$B5))</f>
        <v/>
      </c>
      <c r="D5" s="20" t="str">
        <f>IF(COUNTIFS(Main!$Z$33:$Z$42,HeatMap!D$10,Main!$AA$33:$AA$42,HeatMap!$B5)=0,"",COUNTIFS(Main!$Z$33:$Z$42,HeatMap!D$10,Main!$AA$33:$AA$42,HeatMap!$B5))</f>
        <v/>
      </c>
      <c r="E5" s="21" t="str">
        <f>IF(COUNTIFS(Main!$Z$33:$Z$42,HeatMap!E$10,Main!$AA$33:$AA$42,HeatMap!$B5)=0,"",COUNTIFS(Main!$Z$33:$Z$42,HeatMap!E$10,Main!$AA$33:$AA$42,HeatMap!$B5))</f>
        <v/>
      </c>
      <c r="F5" s="22">
        <f>IF(COUNTIFS(Main!$Z$33:$Z$42,HeatMap!F$10,Main!$AA$33:$AA$42,HeatMap!$B5)=0,"",COUNTIFS(Main!$Z$33:$Z$42,HeatMap!F$10,Main!$AA$33:$AA$42,HeatMap!$B5))</f>
        <v>2</v>
      </c>
      <c r="G5" s="22">
        <f>IF(COUNTIFS(Main!$Z$33:$Z$42,HeatMap!G$10,Main!$AA$33:$AA$42,HeatMap!$B5)=0,"",COUNTIFS(Main!$Z$33:$Z$42,HeatMap!G$10,Main!$AA$33:$AA$42,HeatMap!$B5))</f>
        <v>3</v>
      </c>
      <c r="I5" s="72" t="s">
        <v>42</v>
      </c>
      <c r="J5" s="8" t="s">
        <v>48</v>
      </c>
      <c r="K5" s="14" t="str">
        <f>IF(COUNTIFS(Main!$AC$33:$AC$42,K$10,Main!$AD$33:$AD$42,HeatMap!$J5)=0,"",COUNTIFS(Main!$AC$33:$AC$42,K$10,Main!$AD$33:$AD$42,HeatMap!$J5))</f>
        <v/>
      </c>
      <c r="L5" s="17" t="str">
        <f>IF(COUNTIFS(Main!$AC$33:$AC$42,L$10,Main!$AD$33:$AD$42,HeatMap!$J5)=0,"",COUNTIFS(Main!$AC$33:$AC$42,L$10,Main!$AD$33:$AD$42,HeatMap!$J5))</f>
        <v/>
      </c>
      <c r="M5" s="15" t="str">
        <f>IF(COUNTIFS(Main!$AC$33:$AC$42,M$10,Main!$AD$33:$AD$42,HeatMap!$J5)=0,"",COUNTIFS(Main!$AC$33:$AC$42,M$10,Main!$AD$33:$AD$42,HeatMap!$J5))</f>
        <v/>
      </c>
      <c r="N5" s="16" t="str">
        <f>IF(COUNTIFS(Main!$AC$33:$AC$42,N$10,Main!$AD$33:$AD$42,HeatMap!$J5)=0,"",COUNTIFS(Main!$AC$33:$AC$42,N$10,Main!$AD$33:$AD$42,HeatMap!$J5))</f>
        <v/>
      </c>
      <c r="O5" s="16" t="str">
        <f>IF(COUNTIFS(Main!$AC$33:$AC$42,O$10,Main!$AD$33:$AD$42,HeatMap!$J5)=0,"",COUNTIFS(Main!$AC$33:$AC$42,O$10,Main!$AD$33:$AD$42,HeatMap!$J5))</f>
        <v/>
      </c>
    </row>
    <row r="6" spans="1:17" ht="42" customHeight="1" x14ac:dyDescent="0.2">
      <c r="A6" s="72"/>
      <c r="B6" s="8" t="s">
        <v>51</v>
      </c>
      <c r="C6" s="19" t="str">
        <f>IF(COUNTIFS(Main!$Z$33:$Z$42,HeatMap!C$10,Main!$AA$33:$AA$42,HeatMap!$B6)=0,"",COUNTIFS(Main!$Z$33:$Z$42,HeatMap!C$10,Main!$AA$33:$AA$42,HeatMap!$B6))</f>
        <v/>
      </c>
      <c r="D6" s="20" t="str">
        <f>IF(COUNTIFS(Main!$Z$33:$Z$42,HeatMap!D$10,Main!$AA$33:$AA$42,HeatMap!$B6)=0,"",COUNTIFS(Main!$Z$33:$Z$42,HeatMap!D$10,Main!$AA$33:$AA$42,HeatMap!$B6))</f>
        <v/>
      </c>
      <c r="E6" s="23">
        <f>IF(COUNTIFS(Main!$Z$33:$Z$42,HeatMap!E$10,Main!$AA$33:$AA$42,HeatMap!$B6)=0,"",COUNTIFS(Main!$Z$33:$Z$42,HeatMap!E$10,Main!$AA$33:$AA$42,HeatMap!$B6))</f>
        <v>1</v>
      </c>
      <c r="F6" s="22">
        <f>IF(COUNTIFS(Main!$Z$33:$Z$42,HeatMap!F$10,Main!$AA$33:$AA$42,HeatMap!$B6)=0,"",COUNTIFS(Main!$Z$33:$Z$42,HeatMap!F$10,Main!$AA$33:$AA$42,HeatMap!$B6))</f>
        <v>2</v>
      </c>
      <c r="G6" s="22" t="str">
        <f>IF(COUNTIFS(Main!$Z$33:$Z$42,HeatMap!G$10,Main!$AA$33:$AA$42,HeatMap!$B6)=0,"",COUNTIFS(Main!$Z$33:$Z$42,HeatMap!G$10,Main!$AA$33:$AA$42,HeatMap!$B6))</f>
        <v/>
      </c>
      <c r="I6" s="72"/>
      <c r="J6" s="8" t="s">
        <v>51</v>
      </c>
      <c r="K6" s="14" t="str">
        <f>IF(COUNTIFS(Main!$AC$33:$AC$42,K$10,Main!$AD$33:$AD$42,HeatMap!$J6)=0,"",COUNTIFS(Main!$AC$33:$AC$42,K$10,Main!$AD$33:$AD$42,HeatMap!$J6))</f>
        <v/>
      </c>
      <c r="L6" s="17">
        <f>IF(COUNTIFS(Main!$AC$33:$AC$42,L$10,Main!$AD$33:$AD$42,HeatMap!$J6)=0,"",COUNTIFS(Main!$AC$33:$AC$42,L$10,Main!$AD$33:$AD$42,HeatMap!$J6))</f>
        <v>1</v>
      </c>
      <c r="M6" s="17" t="str">
        <f>IF(COUNTIFS(Main!$AC$33:$AC$42,M$10,Main!$AD$33:$AD$42,HeatMap!$J6)=0,"",COUNTIFS(Main!$AC$33:$AC$42,M$10,Main!$AD$33:$AD$42,HeatMap!$J6))</f>
        <v/>
      </c>
      <c r="N6" s="16">
        <f>IF(COUNTIFS(Main!$AC$33:$AC$42,N$10,Main!$AD$33:$AD$42,HeatMap!$J6)=0,"",COUNTIFS(Main!$AC$33:$AC$42,N$10,Main!$AD$33:$AD$42,HeatMap!$J6))</f>
        <v>1</v>
      </c>
      <c r="O6" s="16" t="str">
        <f>IF(COUNTIFS(Main!$AC$33:$AC$42,O$10,Main!$AD$33:$AD$42,HeatMap!$J6)=0,"",COUNTIFS(Main!$AC$33:$AC$42,O$10,Main!$AD$33:$AD$42,HeatMap!$J6))</f>
        <v/>
      </c>
    </row>
    <row r="7" spans="1:17" ht="45" customHeight="1" x14ac:dyDescent="0.2">
      <c r="A7" s="72"/>
      <c r="B7" s="8" t="s">
        <v>52</v>
      </c>
      <c r="C7" s="19" t="str">
        <f>IF(COUNTIFS(Main!$Z$33:$Z$42,HeatMap!C$10,Main!$AA$33:$AA$42,HeatMap!$B7)=0,"",COUNTIFS(Main!$Z$33:$Z$42,HeatMap!C$10,Main!$AA$33:$AA$42,HeatMap!$B7))</f>
        <v/>
      </c>
      <c r="D7" s="20" t="str">
        <f>IF(COUNTIFS(Main!$Z$33:$Z$42,HeatMap!D$10,Main!$AA$33:$AA$42,HeatMap!$B7)=0,"",COUNTIFS(Main!$Z$33:$Z$42,HeatMap!D$10,Main!$AA$33:$AA$42,HeatMap!$B7))</f>
        <v/>
      </c>
      <c r="E7" s="23" t="str">
        <f>IF(COUNTIFS(Main!$Z$33:$Z$42,HeatMap!E$10,Main!$AA$33:$AA$42,HeatMap!$B7)=0,"",COUNTIFS(Main!$Z$33:$Z$42,HeatMap!E$10,Main!$AA$33:$AA$42,HeatMap!$B7))</f>
        <v/>
      </c>
      <c r="F7" s="23" t="str">
        <f>IF(COUNTIFS(Main!$Z$33:$Z$42,HeatMap!F$10,Main!$AA$33:$AA$42,HeatMap!$B7)=0,"",COUNTIFS(Main!$Z$33:$Z$42,HeatMap!F$10,Main!$AA$33:$AA$42,HeatMap!$B7))</f>
        <v/>
      </c>
      <c r="G7" s="21" t="str">
        <f>IF(COUNTIFS(Main!$Z$33:$Z$42,HeatMap!G$10,Main!$AA$33:$AA$42,HeatMap!$B7)=0,"",COUNTIFS(Main!$Z$33:$Z$42,HeatMap!G$10,Main!$AA$33:$AA$42,HeatMap!$B7))</f>
        <v/>
      </c>
      <c r="I7" s="72"/>
      <c r="J7" s="8" t="s">
        <v>52</v>
      </c>
      <c r="K7" s="13" t="str">
        <f>IF(COUNTIFS(Main!$AC$33:$AC$42,K$10,Main!$AD$33:$AD$42,HeatMap!$J7)=0,"",COUNTIFS(Main!$AC$33:$AC$42,K$10,Main!$AD$33:$AD$42,HeatMap!$J7))</f>
        <v/>
      </c>
      <c r="L7" s="14">
        <f>IF(COUNTIFS(Main!$AC$33:$AC$42,L$10,Main!$AD$33:$AD$42,HeatMap!$J7)=0,"",COUNTIFS(Main!$AC$33:$AC$42,L$10,Main!$AD$33:$AD$42,HeatMap!$J7))</f>
        <v>2</v>
      </c>
      <c r="M7" s="17">
        <f>IF(COUNTIFS(Main!$AC$33:$AC$42,M$10,Main!$AD$33:$AD$42,HeatMap!$J7)=0,"",COUNTIFS(Main!$AC$33:$AC$42,M$10,Main!$AD$33:$AD$42,HeatMap!$J7))</f>
        <v>4</v>
      </c>
      <c r="N7" s="17" t="str">
        <f>IF(COUNTIFS(Main!$AC$33:$AC$42,N$10,Main!$AD$33:$AD$42,HeatMap!$J7)=0,"",COUNTIFS(Main!$AC$33:$AC$42,N$10,Main!$AD$33:$AD$42,HeatMap!$J7))</f>
        <v/>
      </c>
      <c r="O7" s="15" t="str">
        <f>IF(COUNTIFS(Main!$AC$33:$AC$42,O$10,Main!$AD$33:$AD$42,HeatMap!$J7)=0,"",COUNTIFS(Main!$AC$33:$AC$42,O$10,Main!$AD$33:$AD$42,HeatMap!$J7))</f>
        <v/>
      </c>
    </row>
    <row r="8" spans="1:17" ht="41" customHeight="1" x14ac:dyDescent="0.2">
      <c r="A8" s="72"/>
      <c r="B8" s="8" t="s">
        <v>60</v>
      </c>
      <c r="C8" s="19">
        <f>IF(COUNTIFS(Main!$Z$33:$Z$42,HeatMap!C$10,Main!$AA$33:$AA$42,HeatMap!$B8)=0,"",COUNTIFS(Main!$Z$33:$Z$42,HeatMap!C$10,Main!$AA$33:$AA$42,HeatMap!$B8))</f>
        <v>1</v>
      </c>
      <c r="D8" s="19">
        <f>IF(COUNTIFS(Main!$Z$33:$Z$42,HeatMap!D$10,Main!$AA$33:$AA$42,HeatMap!$B8)=0,"",COUNTIFS(Main!$Z$33:$Z$42,HeatMap!D$10,Main!$AA$33:$AA$42,HeatMap!$B8))</f>
        <v>1</v>
      </c>
      <c r="E8" s="20" t="str">
        <f>IF(COUNTIFS(Main!$Z$33:$Z$42,HeatMap!E$10,Main!$AA$33:$AA$42,HeatMap!$B8)=0,"",COUNTIFS(Main!$Z$33:$Z$42,HeatMap!E$10,Main!$AA$33:$AA$42,HeatMap!$B8))</f>
        <v/>
      </c>
      <c r="F8" s="23" t="str">
        <f>IF(COUNTIFS(Main!$Z$33:$Z$42,HeatMap!F$10,Main!$AA$33:$AA$42,HeatMap!$B8)=0,"",COUNTIFS(Main!$Z$33:$Z$42,HeatMap!F$10,Main!$AA$33:$AA$42,HeatMap!$B8))</f>
        <v/>
      </c>
      <c r="G8" s="23" t="str">
        <f>IF(COUNTIFS(Main!$Z$33:$Z$42,HeatMap!G$10,Main!$AA$33:$AA$42,HeatMap!$B8)=0,"",COUNTIFS(Main!$Z$33:$Z$42,HeatMap!G$10,Main!$AA$33:$AA$42,HeatMap!$B8))</f>
        <v/>
      </c>
      <c r="I8" s="72"/>
      <c r="J8" s="8" t="s">
        <v>60</v>
      </c>
      <c r="K8" s="13">
        <f>IF(COUNTIFS(Main!$AC$33:$AC$42,K$10,Main!$AD$33:$AD$42,HeatMap!$J8)=0,"",COUNTIFS(Main!$AC$33:$AC$42,K$10,Main!$AD$33:$AD$42,HeatMap!$J8))</f>
        <v>1</v>
      </c>
      <c r="L8" s="13" t="str">
        <f>IF(COUNTIFS(Main!$AC$33:$AC$42,L$10,Main!$AD$33:$AD$42,HeatMap!$J8)=0,"",COUNTIFS(Main!$AC$33:$AC$42,L$10,Main!$AD$33:$AD$42,HeatMap!$J8))</f>
        <v/>
      </c>
      <c r="M8" s="14" t="str">
        <f>IF(COUNTIFS(Main!$AC$33:$AC$42,M$10,Main!$AD$33:$AD$42,HeatMap!$J8)=0,"",COUNTIFS(Main!$AC$33:$AC$42,M$10,Main!$AD$33:$AD$42,HeatMap!$J8))</f>
        <v/>
      </c>
      <c r="N8" s="17" t="str">
        <f>IF(COUNTIFS(Main!$AC$33:$AC$42,N$10,Main!$AD$33:$AD$42,HeatMap!$J8)=0,"",COUNTIFS(Main!$AC$33:$AC$42,N$10,Main!$AD$33:$AD$42,HeatMap!$J8))</f>
        <v/>
      </c>
      <c r="O8" s="17" t="str">
        <f>IF(COUNTIFS(Main!$AC$33:$AC$42,O$10,Main!$AD$33:$AD$42,HeatMap!$J8)=0,"",COUNTIFS(Main!$AC$33:$AC$42,O$10,Main!$AD$33:$AD$42,HeatMap!$J8))</f>
        <v/>
      </c>
    </row>
    <row r="9" spans="1:17" ht="46" customHeight="1" x14ac:dyDescent="0.2">
      <c r="A9" s="72"/>
      <c r="B9" s="8" t="s">
        <v>47</v>
      </c>
      <c r="C9" s="19" t="str">
        <f>IF(COUNTIFS(Main!$Z$33:$Z$42,HeatMap!C$10,Main!$AA$33:$AA$42,HeatMap!$B9)=0,"",COUNTIFS(Main!$Z$33:$Z$42,HeatMap!C$10,Main!$AA$33:$AA$42,HeatMap!$B9))</f>
        <v/>
      </c>
      <c r="D9" s="19" t="str">
        <f>IF(COUNTIFS(Main!$Z$33:$Z$42,HeatMap!D$10,Main!$AA$33:$AA$42,HeatMap!$B9)=0,"",COUNTIFS(Main!$Z$33:$Z$42,HeatMap!D$10,Main!$AA$33:$AA$42,HeatMap!$B9))</f>
        <v/>
      </c>
      <c r="E9" s="19" t="str">
        <f>IF(COUNTIFS(Main!$Z$33:$Z$42,HeatMap!E$10,Main!$AA$33:$AA$42,HeatMap!$B9)=0,"",COUNTIFS(Main!$Z$33:$Z$42,HeatMap!E$10,Main!$AA$33:$AA$42,HeatMap!$B9))</f>
        <v/>
      </c>
      <c r="F9" s="20" t="str">
        <f>IF(COUNTIFS(Main!$Z$33:$Z$42,HeatMap!F$10,Main!$AA$33:$AA$42,HeatMap!$B9)=0,"",COUNTIFS(Main!$Z$33:$Z$42,HeatMap!F$10,Main!$AA$33:$AA$42,HeatMap!$B9))</f>
        <v/>
      </c>
      <c r="G9" s="20" t="str">
        <f>IF(COUNTIFS(Main!$Z$33:$Z$42,HeatMap!G$10,Main!$AA$33:$AA$42,HeatMap!$B9)=0,"",COUNTIFS(Main!$Z$33:$Z$42,HeatMap!G$10,Main!$AA$33:$AA$42,HeatMap!$B9))</f>
        <v/>
      </c>
      <c r="I9" s="72"/>
      <c r="J9" s="8" t="s">
        <v>47</v>
      </c>
      <c r="K9" s="13" t="str">
        <f>IF(COUNTIFS(Main!$AC$33:$AC$42,K$10,Main!$AD$33:$AD$42,HeatMap!$J9)=0,"",COUNTIFS(Main!$AC$33:$AC$42,K$10,Main!$AD$33:$AD$42,HeatMap!$J9))</f>
        <v/>
      </c>
      <c r="L9" s="13" t="str">
        <f>IF(COUNTIFS(Main!$AC$33:$AC$42,L$10,Main!$AD$33:$AD$42,HeatMap!$J9)=0,"",COUNTIFS(Main!$AC$33:$AC$42,L$10,Main!$AD$33:$AD$42,HeatMap!$J9))</f>
        <v/>
      </c>
      <c r="M9" s="13" t="str">
        <f>IF(COUNTIFS(Main!$AC$33:$AC$42,M$10,Main!$AD$33:$AD$42,HeatMap!$J9)=0,"",COUNTIFS(Main!$AC$33:$AC$42,M$10,Main!$AD$33:$AD$42,HeatMap!$J9))</f>
        <v/>
      </c>
      <c r="N9" s="14" t="str">
        <f>IF(COUNTIFS(Main!$AC$33:$AC$42,N$10,Main!$AD$33:$AD$42,HeatMap!$J9)=0,"",COUNTIFS(Main!$AC$33:$AC$42,N$10,Main!$AD$33:$AD$42,HeatMap!$J9))</f>
        <v/>
      </c>
      <c r="O9" s="14" t="str">
        <f>IF(COUNTIFS(Main!$AC$33:$AC$42,O$10,Main!$AD$33:$AD$42,HeatMap!$J9)=0,"",COUNTIFS(Main!$AC$33:$AC$42,O$10,Main!$AD$33:$AD$42,HeatMap!$J9))</f>
        <v/>
      </c>
    </row>
    <row r="10" spans="1:17" ht="25" customHeight="1" x14ac:dyDescent="0.2">
      <c r="C10" t="s">
        <v>53</v>
      </c>
      <c r="D10" t="s">
        <v>44</v>
      </c>
      <c r="E10" t="s">
        <v>43</v>
      </c>
      <c r="F10" t="s">
        <v>54</v>
      </c>
      <c r="G10" t="s">
        <v>45</v>
      </c>
      <c r="K10" t="s">
        <v>53</v>
      </c>
      <c r="L10" t="s">
        <v>44</v>
      </c>
      <c r="M10" t="s">
        <v>43</v>
      </c>
      <c r="N10" t="s">
        <v>54</v>
      </c>
      <c r="O10" t="s">
        <v>45</v>
      </c>
    </row>
    <row r="11" spans="1:17" x14ac:dyDescent="0.2">
      <c r="C11" s="73" t="s">
        <v>41</v>
      </c>
      <c r="D11" s="73"/>
      <c r="E11" s="73"/>
      <c r="F11" s="73"/>
      <c r="G11" s="73"/>
      <c r="K11" s="73" t="s">
        <v>41</v>
      </c>
      <c r="L11" s="73"/>
      <c r="M11" s="73"/>
      <c r="N11" s="73"/>
      <c r="O11" s="73"/>
    </row>
    <row r="15" spans="1:17" x14ac:dyDescent="0.2">
      <c r="K15" t="s">
        <v>19</v>
      </c>
    </row>
    <row r="16" spans="1:17" x14ac:dyDescent="0.2">
      <c r="C16" s="12"/>
      <c r="D16" s="12"/>
      <c r="E16" s="9"/>
    </row>
    <row r="17" spans="3:6" x14ac:dyDescent="0.2">
      <c r="C17" s="12"/>
      <c r="D17" s="12"/>
    </row>
    <row r="18" spans="3:6" x14ac:dyDescent="0.2">
      <c r="C18" s="12"/>
      <c r="D18" s="12"/>
    </row>
    <row r="19" spans="3:6" x14ac:dyDescent="0.2">
      <c r="C19" s="12"/>
      <c r="D19" s="12"/>
    </row>
    <row r="20" spans="3:6" x14ac:dyDescent="0.2">
      <c r="C20" s="12"/>
      <c r="D20" s="12"/>
    </row>
    <row r="21" spans="3:6" x14ac:dyDescent="0.2">
      <c r="F21" s="8"/>
    </row>
    <row r="22" spans="3:6" x14ac:dyDescent="0.2">
      <c r="F22" s="8"/>
    </row>
    <row r="23" spans="3:6" x14ac:dyDescent="0.2">
      <c r="F23" s="8"/>
    </row>
    <row r="24" spans="3:6" x14ac:dyDescent="0.2">
      <c r="F24" s="8"/>
    </row>
    <row r="25" spans="3:6" x14ac:dyDescent="0.2">
      <c r="F25" s="8"/>
    </row>
  </sheetData>
  <sortState xmlns:xlrd2="http://schemas.microsoft.com/office/spreadsheetml/2017/richdata2" ref="F21:F25">
    <sortCondition descending="1" ref="F21:F25"/>
  </sortState>
  <mergeCells count="6">
    <mergeCell ref="A1:O1"/>
    <mergeCell ref="A2:O2"/>
    <mergeCell ref="A5:A9"/>
    <mergeCell ref="I5:I9"/>
    <mergeCell ref="C11:G11"/>
    <mergeCell ref="K11:O11"/>
  </mergeCells>
  <conditionalFormatting sqref="C21">
    <cfRule type="cellIs" dxfId="2" priority="1" operator="equal">
      <formula>"Improbable"</formula>
    </cfRule>
  </conditionalFormatting>
  <conditionalFormatting sqref="C25">
    <cfRule type="dataBar" priority="3">
      <dataBar>
        <cfvo type="min"/>
        <cfvo type="max"/>
        <color rgb="FF638EC6"/>
      </dataBar>
      <extLst>
        <ext xmlns:x14="http://schemas.microsoft.com/office/spreadsheetml/2009/9/main" uri="{B025F937-C7B1-47D3-B67F-A62EFF666E3E}">
          <x14:id>{2CD88823-15EB-1545-86EA-1283D2B3FB86}</x14:id>
        </ext>
      </extLst>
    </cfRule>
    <cfRule type="colorScale" priority="4">
      <colorScale>
        <cfvo type="min"/>
        <cfvo type="max"/>
        <color rgb="FFFF7128"/>
        <color rgb="FFFFEF9C"/>
      </colorScale>
    </cfRule>
    <cfRule type="cellIs" dxfId="1" priority="5" operator="equal">
      <formula>"Medium"</formula>
    </cfRule>
    <cfRule type="cellIs" dxfId="0" priority="6" operator="equal">
      <formula>"Low"</formula>
    </cfRule>
    <cfRule type="colorScale" priority="7">
      <colorScale>
        <cfvo type="min"/>
        <cfvo type="max"/>
        <color rgb="FFFF7128"/>
        <color rgb="FFFFEF9C"/>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CD88823-15EB-1545-86EA-1283D2B3FB86}">
            <x14:dataBar minLength="0" maxLength="100" gradient="0">
              <x14:cfvo type="autoMin"/>
              <x14:cfvo type="autoMax"/>
              <x14:negativeFillColor rgb="FFFF0000"/>
              <x14:axisColor rgb="FF000000"/>
            </x14:dataBar>
          </x14:cfRule>
          <xm:sqref>C25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CECA7-172D-704D-9F75-43E52DF46FE6}">
  <dimension ref="A1:R40"/>
  <sheetViews>
    <sheetView workbookViewId="0">
      <selection activeCell="A16" sqref="A16:A20"/>
    </sheetView>
  </sheetViews>
  <sheetFormatPr baseColWidth="10" defaultRowHeight="16" x14ac:dyDescent="0.2"/>
  <cols>
    <col min="1" max="1" width="38.6640625" style="43" customWidth="1"/>
    <col min="2" max="2" width="10.83203125" style="43"/>
    <col min="3" max="4" width="13.5" style="43" customWidth="1"/>
    <col min="5" max="5" width="14.5" style="43" customWidth="1"/>
    <col min="6" max="6" width="16.5" style="43" customWidth="1"/>
    <col min="7" max="7" width="10.83203125" style="43"/>
    <col min="8" max="8" width="12.6640625" style="43" bestFit="1" customWidth="1"/>
    <col min="9" max="9" width="16" style="43" customWidth="1"/>
    <col min="10" max="10" width="13" style="43" bestFit="1" customWidth="1"/>
    <col min="11" max="11" width="13" style="43" customWidth="1"/>
    <col min="12" max="12" width="13.33203125" style="43" customWidth="1"/>
    <col min="13" max="13" width="14" hidden="1" customWidth="1"/>
    <col min="14" max="14" width="10.83203125" hidden="1" customWidth="1"/>
    <col min="17" max="17" width="14.1640625" customWidth="1"/>
  </cols>
  <sheetData>
    <row r="1" spans="1:18" x14ac:dyDescent="0.2">
      <c r="A1" s="44"/>
      <c r="B1" s="44"/>
      <c r="C1" s="44"/>
      <c r="D1" s="45"/>
      <c r="E1" s="45"/>
      <c r="F1" s="45"/>
      <c r="G1" s="45"/>
      <c r="H1" s="45"/>
      <c r="I1" s="45"/>
      <c r="J1" s="45"/>
      <c r="K1" s="45"/>
      <c r="L1" s="45"/>
      <c r="P1" s="29"/>
      <c r="Q1" s="29"/>
    </row>
    <row r="2" spans="1:18" ht="45" x14ac:dyDescent="0.2">
      <c r="A2" s="46" t="s">
        <v>26</v>
      </c>
      <c r="B2" s="46" t="s">
        <v>27</v>
      </c>
      <c r="C2" s="46" t="s">
        <v>28</v>
      </c>
      <c r="D2" s="46" t="s">
        <v>92</v>
      </c>
      <c r="E2" s="46" t="s">
        <v>79</v>
      </c>
      <c r="F2" s="46" t="s">
        <v>85</v>
      </c>
      <c r="G2" s="46" t="s">
        <v>86</v>
      </c>
      <c r="H2" s="46" t="s">
        <v>115</v>
      </c>
      <c r="I2" s="46" t="s">
        <v>80</v>
      </c>
      <c r="J2" s="46" t="s">
        <v>87</v>
      </c>
      <c r="K2" s="46" t="s">
        <v>117</v>
      </c>
      <c r="L2" s="46" t="s">
        <v>116</v>
      </c>
      <c r="N2" t="s">
        <v>82</v>
      </c>
      <c r="Q2" s="25"/>
      <c r="R2" s="25"/>
    </row>
    <row r="3" spans="1:18" ht="16" customHeight="1" x14ac:dyDescent="0.2">
      <c r="A3" s="65" t="s">
        <v>19</v>
      </c>
      <c r="B3" s="65" t="s">
        <v>19</v>
      </c>
      <c r="C3" s="65" t="s">
        <v>77</v>
      </c>
      <c r="D3" s="43" t="s">
        <v>78</v>
      </c>
      <c r="E3" s="43" t="s">
        <v>84</v>
      </c>
      <c r="F3" s="47">
        <v>1</v>
      </c>
      <c r="G3" s="48">
        <f>POISSON(F3,N3,FALSE)</f>
        <v>0.36787944117144233</v>
      </c>
      <c r="H3" s="49">
        <v>900000</v>
      </c>
      <c r="I3" s="43" t="s">
        <v>81</v>
      </c>
      <c r="J3" s="50">
        <f>G3*_xlfn.NORM.S.INV(1-$M$4)*H3</f>
        <v>-544597.04978255474</v>
      </c>
      <c r="K3" s="50">
        <f>J3</f>
        <v>-544597.04978255474</v>
      </c>
      <c r="M3" s="24" t="s">
        <v>113</v>
      </c>
      <c r="N3" cm="1">
        <f t="array" ref="N3">_xlfn.IFS(E3="Daily",F3/252,E3="Weekly",F3/52,E3="Monthly",F3/12,E3="Quarterly",F3/4,E3="Annually",1)</f>
        <v>1</v>
      </c>
      <c r="Q3" s="25"/>
    </row>
    <row r="4" spans="1:18" x14ac:dyDescent="0.2">
      <c r="A4" s="65"/>
      <c r="B4" s="65"/>
      <c r="C4" s="65"/>
      <c r="G4" s="48">
        <f>POISSON(F3,N3,TRUE)</f>
        <v>0.73575888234288478</v>
      </c>
      <c r="H4" s="49"/>
      <c r="J4" s="50">
        <f>G4*_xlfn.NORM.S.INV(1-$M$4)*H3</f>
        <v>-1089194.0995651097</v>
      </c>
      <c r="L4" s="50">
        <f>J4</f>
        <v>-1089194.0995651097</v>
      </c>
      <c r="M4" s="1">
        <v>0.95</v>
      </c>
      <c r="Q4" s="25"/>
    </row>
    <row r="5" spans="1:18" x14ac:dyDescent="0.2">
      <c r="A5" s="65"/>
      <c r="B5" s="65"/>
      <c r="C5" s="65"/>
      <c r="H5" s="49"/>
      <c r="J5" s="51"/>
      <c r="Q5" s="25"/>
    </row>
    <row r="6" spans="1:18" x14ac:dyDescent="0.2">
      <c r="A6" s="65"/>
      <c r="B6" s="65"/>
      <c r="C6" s="65"/>
      <c r="H6" s="49"/>
      <c r="J6" s="51"/>
      <c r="Q6" s="25"/>
    </row>
    <row r="7" spans="1:18" ht="16" customHeight="1" x14ac:dyDescent="0.2">
      <c r="A7" s="65"/>
      <c r="B7" s="65"/>
      <c r="C7" s="65"/>
      <c r="H7" s="49"/>
      <c r="J7" s="51"/>
      <c r="L7" s="43" t="s">
        <v>19</v>
      </c>
      <c r="Q7" s="25"/>
    </row>
    <row r="8" spans="1:18" ht="16" customHeight="1" x14ac:dyDescent="0.2">
      <c r="A8" s="52"/>
      <c r="B8" s="52"/>
      <c r="C8" s="52"/>
      <c r="D8" s="53"/>
      <c r="E8" s="53"/>
      <c r="F8" s="53"/>
      <c r="G8" s="53"/>
      <c r="H8" s="54"/>
      <c r="I8" s="53"/>
      <c r="J8" s="55"/>
      <c r="K8" s="53"/>
      <c r="L8" s="53"/>
      <c r="Q8" s="25"/>
    </row>
    <row r="9" spans="1:18" x14ac:dyDescent="0.2">
      <c r="A9" s="65" t="s">
        <v>19</v>
      </c>
      <c r="B9" s="65" t="s">
        <v>19</v>
      </c>
      <c r="C9" s="65" t="s">
        <v>90</v>
      </c>
      <c r="D9" s="43" t="s">
        <v>78</v>
      </c>
      <c r="E9" s="43" t="s">
        <v>84</v>
      </c>
      <c r="F9" s="47">
        <v>4</v>
      </c>
      <c r="G9" s="48">
        <f>POISSON(F9,N9,FALSE)</f>
        <v>1.5328310048810094E-2</v>
      </c>
      <c r="H9" s="49">
        <v>250000</v>
      </c>
      <c r="I9" s="43" t="s">
        <v>81</v>
      </c>
      <c r="J9" s="50">
        <f>G9*_xlfn.NORM.S.INV(1-$M$4)*H9</f>
        <v>-6303.2065947054925</v>
      </c>
      <c r="K9" s="50">
        <f>J9</f>
        <v>-6303.2065947054925</v>
      </c>
      <c r="N9" cm="1">
        <f t="array" ref="N9">_xlfn.IFS(E9="Daily",F9/252,E9="Weekly",F9/52,E9="Monthly",F9/12,E9="Quarterly",F9/4,E9="Annually",1)</f>
        <v>1</v>
      </c>
      <c r="Q9" s="25"/>
    </row>
    <row r="10" spans="1:18" x14ac:dyDescent="0.2">
      <c r="A10" s="65"/>
      <c r="B10" s="65"/>
      <c r="C10" s="65"/>
      <c r="G10" s="48">
        <f>POISSON(F9,N9,TRUE)</f>
        <v>0.99634015317265634</v>
      </c>
      <c r="H10" s="49"/>
      <c r="J10" s="50">
        <f>G10*_xlfn.NORM.S.INV(1-$M$4)*H9</f>
        <v>-409708.4286558571</v>
      </c>
      <c r="L10" s="50">
        <f>J10</f>
        <v>-409708.4286558571</v>
      </c>
      <c r="Q10" s="25"/>
    </row>
    <row r="11" spans="1:18" x14ac:dyDescent="0.2">
      <c r="A11" s="65"/>
      <c r="B11" s="65"/>
      <c r="C11" s="65"/>
      <c r="H11" s="49"/>
      <c r="J11" s="51"/>
      <c r="Q11" s="25"/>
    </row>
    <row r="12" spans="1:18" x14ac:dyDescent="0.2">
      <c r="A12" s="65"/>
      <c r="B12" s="65"/>
      <c r="C12" s="65"/>
      <c r="H12" s="49"/>
      <c r="J12" s="51"/>
      <c r="Q12" s="25"/>
    </row>
    <row r="13" spans="1:18" x14ac:dyDescent="0.2">
      <c r="A13" s="65"/>
      <c r="B13" s="65"/>
      <c r="C13" s="65"/>
      <c r="H13" s="49"/>
      <c r="J13" s="51"/>
      <c r="Q13" s="25"/>
    </row>
    <row r="14" spans="1:18" x14ac:dyDescent="0.2">
      <c r="A14" s="65"/>
      <c r="B14" s="65"/>
      <c r="C14" s="65"/>
      <c r="H14" s="49"/>
      <c r="J14" s="51"/>
    </row>
    <row r="15" spans="1:18" x14ac:dyDescent="0.2">
      <c r="A15" s="52"/>
      <c r="B15" s="52"/>
      <c r="C15" s="52"/>
      <c r="D15" s="53"/>
      <c r="E15" s="53"/>
      <c r="F15" s="53"/>
      <c r="G15" s="53"/>
      <c r="H15" s="54"/>
      <c r="I15" s="53"/>
      <c r="J15" s="55"/>
      <c r="K15" s="53"/>
      <c r="L15" s="53"/>
    </row>
    <row r="16" spans="1:18" ht="16" customHeight="1" x14ac:dyDescent="0.2">
      <c r="A16" s="65" t="s">
        <v>19</v>
      </c>
      <c r="B16" s="65" t="s">
        <v>19</v>
      </c>
      <c r="C16" s="75" t="s">
        <v>88</v>
      </c>
      <c r="D16" s="43" t="s">
        <v>93</v>
      </c>
      <c r="E16" s="43" t="s">
        <v>83</v>
      </c>
      <c r="F16" s="47">
        <v>2</v>
      </c>
      <c r="G16" s="48">
        <f>POISSON(F16,N16,FALSE)</f>
        <v>7.5816332464079178E-2</v>
      </c>
      <c r="H16" s="49">
        <v>500000</v>
      </c>
      <c r="I16" s="43" t="s">
        <v>81</v>
      </c>
      <c r="J16" s="50">
        <f>G16*_xlfn.NORM.S.INV(1-$M$4)*H16</f>
        <v>-62353.384717849614</v>
      </c>
      <c r="K16" s="50">
        <f>J16</f>
        <v>-62353.384717849614</v>
      </c>
      <c r="N16" cm="1">
        <f t="array" ref="N16">_xlfn.IFS(E16="Daily",F16/252,E16="Weekly",F16/52,E16="Monthly",F16/12,E16="Quarterly",F16/4,E16="Annually",1)</f>
        <v>0.5</v>
      </c>
      <c r="Q16" s="25"/>
    </row>
    <row r="17" spans="1:17" x14ac:dyDescent="0.2">
      <c r="A17" s="65"/>
      <c r="B17" s="65"/>
      <c r="C17" s="76"/>
      <c r="G17" s="48">
        <f>POISSON(F16,N16,TRUE)</f>
        <v>0.98561232203302929</v>
      </c>
      <c r="H17" s="49"/>
      <c r="J17" s="50">
        <f>G17*_xlfn.NORM.S.INV(1-$M$4)*H16</f>
        <v>-810594.00133204495</v>
      </c>
      <c r="L17" s="50">
        <f>J17</f>
        <v>-810594.00133204495</v>
      </c>
      <c r="Q17" s="25"/>
    </row>
    <row r="18" spans="1:17" x14ac:dyDescent="0.2">
      <c r="A18" s="65"/>
      <c r="B18" s="65"/>
      <c r="C18" s="76"/>
      <c r="H18" s="49"/>
      <c r="J18" s="50"/>
      <c r="Q18" s="25"/>
    </row>
    <row r="19" spans="1:17" x14ac:dyDescent="0.2">
      <c r="A19" s="65"/>
      <c r="B19" s="65"/>
      <c r="C19" s="76"/>
      <c r="H19" s="49"/>
      <c r="J19" s="50"/>
      <c r="Q19" s="25"/>
    </row>
    <row r="20" spans="1:17" x14ac:dyDescent="0.2">
      <c r="A20" s="65"/>
      <c r="B20" s="65"/>
      <c r="C20" s="76"/>
      <c r="H20" s="49"/>
      <c r="J20" s="50"/>
    </row>
    <row r="21" spans="1:17" x14ac:dyDescent="0.2">
      <c r="A21" s="52"/>
      <c r="B21" s="52"/>
      <c r="C21" s="52"/>
      <c r="D21" s="53"/>
      <c r="E21" s="53"/>
      <c r="F21" s="53"/>
      <c r="G21" s="53"/>
      <c r="H21" s="54"/>
      <c r="I21" s="53"/>
      <c r="J21" s="55"/>
      <c r="K21" s="53"/>
      <c r="L21" s="53"/>
    </row>
    <row r="22" spans="1:17" ht="16" customHeight="1" x14ac:dyDescent="0.2">
      <c r="A22" s="58" t="s">
        <v>19</v>
      </c>
      <c r="B22" s="58" t="s">
        <v>19</v>
      </c>
      <c r="C22" s="58" t="s">
        <v>88</v>
      </c>
      <c r="D22" s="43" t="s">
        <v>93</v>
      </c>
      <c r="E22" s="43" t="s">
        <v>84</v>
      </c>
      <c r="F22" s="47">
        <v>2</v>
      </c>
      <c r="G22" s="48">
        <f>POISSON(F22,N22,FALSE)</f>
        <v>0.18393972058572114</v>
      </c>
      <c r="H22" s="49">
        <v>500000</v>
      </c>
      <c r="I22" s="43" t="s">
        <v>81</v>
      </c>
      <c r="J22" s="50">
        <f>G22*_xlfn.NORM.S.INV(1-$M$4)*H22</f>
        <v>-151276.95827293184</v>
      </c>
      <c r="K22" s="50">
        <f>J22</f>
        <v>-151276.95827293184</v>
      </c>
      <c r="N22" cm="1">
        <f t="array" ref="N22">_xlfn.IFS(E22="Daily",F22/252,E22="Weekly",F22/52,E22="Monthly",F22/12,E22="Quarterly",F22/4,E22="Annually",1)</f>
        <v>1</v>
      </c>
      <c r="Q22" s="25"/>
    </row>
    <row r="23" spans="1:17" x14ac:dyDescent="0.2">
      <c r="A23" s="59"/>
      <c r="B23" s="59"/>
      <c r="C23" s="59"/>
      <c r="G23" s="48">
        <f>POISSON(F22,N22,TRUE)</f>
        <v>0.91969860292860584</v>
      </c>
      <c r="H23" s="49"/>
      <c r="J23" s="50">
        <f>G23*_xlfn.NORM.S.INV(1-$M$4)*H22</f>
        <v>-756384.79136465932</v>
      </c>
      <c r="L23" s="50">
        <f>J23</f>
        <v>-756384.79136465932</v>
      </c>
      <c r="Q23" s="25"/>
    </row>
    <row r="24" spans="1:17" x14ac:dyDescent="0.2">
      <c r="A24" s="59"/>
      <c r="B24" s="59"/>
      <c r="C24" s="59"/>
      <c r="H24" s="49"/>
      <c r="J24" s="50"/>
      <c r="Q24" s="25"/>
    </row>
    <row r="25" spans="1:17" x14ac:dyDescent="0.2">
      <c r="A25" s="59"/>
      <c r="B25" s="59"/>
      <c r="C25" s="59"/>
      <c r="H25" s="49"/>
      <c r="J25" s="50"/>
      <c r="Q25" s="25"/>
    </row>
    <row r="26" spans="1:17" x14ac:dyDescent="0.2">
      <c r="A26" s="59"/>
      <c r="B26" s="59"/>
      <c r="C26" s="59"/>
      <c r="H26" s="49"/>
      <c r="J26" s="50"/>
    </row>
    <row r="27" spans="1:17" x14ac:dyDescent="0.2">
      <c r="A27" s="52"/>
      <c r="B27" s="52"/>
      <c r="C27" s="52"/>
      <c r="D27" s="53"/>
      <c r="E27" s="53"/>
      <c r="F27" s="53"/>
      <c r="G27" s="53"/>
      <c r="H27" s="54"/>
      <c r="I27" s="53"/>
      <c r="J27" s="55"/>
      <c r="K27" s="53"/>
      <c r="L27" s="53"/>
    </row>
    <row r="28" spans="1:17" x14ac:dyDescent="0.2">
      <c r="A28" s="58" t="s">
        <v>19</v>
      </c>
      <c r="B28" s="58" t="s">
        <v>19</v>
      </c>
      <c r="C28" s="74" t="s">
        <v>89</v>
      </c>
      <c r="D28" s="43" t="s">
        <v>94</v>
      </c>
      <c r="E28" s="43" t="s">
        <v>67</v>
      </c>
      <c r="F28" s="47">
        <v>1</v>
      </c>
      <c r="G28" s="48">
        <f>POISSON(F28,N28,FALSE)</f>
        <v>3.9525381315362674E-3</v>
      </c>
      <c r="H28" s="49">
        <v>500000</v>
      </c>
      <c r="I28" s="43" t="s">
        <v>81</v>
      </c>
      <c r="J28" s="50">
        <f>G28*_xlfn.NORM.S.INV(1-$M$4)*H28</f>
        <v>-3250.6733406607109</v>
      </c>
      <c r="K28" s="50">
        <f>J28</f>
        <v>-3250.6733406607109</v>
      </c>
      <c r="N28" cm="1">
        <f t="array" ref="N28">_xlfn.IFS(E28="Daily",F28/252,E28="Weekly",F28/52,E28="Monthly",F28/12,E28="Quarterly",F28/4,E28="Annually",1)</f>
        <v>3.968253968253968E-3</v>
      </c>
      <c r="Q28" s="25"/>
    </row>
    <row r="29" spans="1:17" x14ac:dyDescent="0.2">
      <c r="A29" s="59"/>
      <c r="B29" s="59"/>
      <c r="C29" s="59"/>
      <c r="G29" s="48">
        <f>POISSON(F28,N28,TRUE)</f>
        <v>0.99999214727867569</v>
      </c>
      <c r="H29" s="49"/>
      <c r="J29" s="50">
        <f>G29*_xlfn.NORM.S.INV(1-$M$4)*H28</f>
        <v>-822420.35518715996</v>
      </c>
      <c r="L29" s="50">
        <f>J29</f>
        <v>-822420.35518715996</v>
      </c>
      <c r="Q29" s="25"/>
    </row>
    <row r="30" spans="1:17" x14ac:dyDescent="0.2">
      <c r="A30" s="59"/>
      <c r="B30" s="59"/>
      <c r="C30" s="59"/>
      <c r="H30" s="49"/>
      <c r="J30" s="50"/>
      <c r="Q30" s="25"/>
    </row>
    <row r="31" spans="1:17" x14ac:dyDescent="0.2">
      <c r="A31" s="59"/>
      <c r="B31" s="59"/>
      <c r="C31" s="59"/>
      <c r="H31" s="49"/>
      <c r="J31" s="50"/>
      <c r="Q31" s="25"/>
    </row>
    <row r="32" spans="1:17" x14ac:dyDescent="0.2">
      <c r="A32" s="59"/>
      <c r="B32" s="59"/>
      <c r="C32" s="59"/>
      <c r="H32" s="49"/>
      <c r="J32" s="50"/>
    </row>
    <row r="33" spans="1:17" x14ac:dyDescent="0.2">
      <c r="A33" s="52"/>
      <c r="B33" s="52"/>
      <c r="C33" s="52"/>
      <c r="D33" s="53"/>
      <c r="E33" s="53"/>
      <c r="F33" s="53"/>
      <c r="G33" s="53"/>
      <c r="H33" s="54"/>
      <c r="I33" s="53"/>
      <c r="J33" s="55"/>
      <c r="K33" s="53"/>
      <c r="L33" s="53"/>
    </row>
    <row r="34" spans="1:17" x14ac:dyDescent="0.2">
      <c r="A34" s="58" t="s">
        <v>19</v>
      </c>
      <c r="B34" s="58" t="s">
        <v>19</v>
      </c>
      <c r="C34" s="74" t="s">
        <v>91</v>
      </c>
      <c r="D34" s="43" t="s">
        <v>94</v>
      </c>
      <c r="E34" s="43" t="s">
        <v>66</v>
      </c>
      <c r="F34" s="47">
        <v>2</v>
      </c>
      <c r="G34" s="48">
        <f>POISSON(F34,N34,FALSE)</f>
        <v>1.1756690623480752E-2</v>
      </c>
      <c r="H34" s="49">
        <v>500000</v>
      </c>
      <c r="I34" s="43" t="s">
        <v>81</v>
      </c>
      <c r="J34" s="50">
        <f>G34*_xlfn.NORM.S.INV(1-$M$4)*H34</f>
        <v>-9669.0176064893367</v>
      </c>
      <c r="K34" s="50">
        <f>J34</f>
        <v>-9669.0176064893367</v>
      </c>
      <c r="N34" cm="1">
        <f t="array" ref="N34">_xlfn.IFS(E34="Daily",F34/252,E34="Weekly",F34/52,E34="Monthly",F34/12,E34="Quarterly",F34/4,E34="Annually",1)</f>
        <v>0.16666666666666666</v>
      </c>
      <c r="Q34" s="25"/>
    </row>
    <row r="35" spans="1:17" x14ac:dyDescent="0.2">
      <c r="A35" s="59"/>
      <c r="B35" s="59"/>
      <c r="C35" s="59"/>
      <c r="G35" s="48">
        <f>POISSON(F34,N34,TRUE)</f>
        <v>0.99931870299586389</v>
      </c>
      <c r="H35" s="49"/>
      <c r="J35" s="50">
        <f>G35*_xlfn.NORM.S.INV(1-$M$4)*H34</f>
        <v>-821866.49655159353</v>
      </c>
      <c r="L35" s="50">
        <f>J35</f>
        <v>-821866.49655159353</v>
      </c>
      <c r="Q35" s="25"/>
    </row>
    <row r="36" spans="1:17" x14ac:dyDescent="0.2">
      <c r="A36" s="59"/>
      <c r="B36" s="59"/>
      <c r="C36" s="59"/>
      <c r="H36" s="49"/>
      <c r="J36" s="50"/>
      <c r="Q36" s="25"/>
    </row>
    <row r="37" spans="1:17" x14ac:dyDescent="0.2">
      <c r="A37" s="59"/>
      <c r="B37" s="59"/>
      <c r="C37" s="59"/>
      <c r="H37" s="49"/>
      <c r="J37" s="50"/>
      <c r="Q37" s="25"/>
    </row>
    <row r="38" spans="1:17" x14ac:dyDescent="0.2">
      <c r="A38" s="59"/>
      <c r="B38" s="59"/>
      <c r="C38" s="59"/>
    </row>
    <row r="39" spans="1:17" ht="17" thickBot="1" x14ac:dyDescent="0.25">
      <c r="C39" s="56" t="s">
        <v>114</v>
      </c>
      <c r="D39" s="56"/>
      <c r="E39" s="56"/>
      <c r="F39" s="56"/>
      <c r="G39" s="56"/>
      <c r="H39" s="57">
        <f>SUM(H3:H37)</f>
        <v>3150000</v>
      </c>
      <c r="I39" s="56"/>
      <c r="J39" s="57"/>
      <c r="K39" s="57">
        <f>SUM(K3:K37)</f>
        <v>-777450.29031519184</v>
      </c>
      <c r="L39" s="57">
        <f>SUM(L3:L37)</f>
        <v>-4710168.1726564253</v>
      </c>
    </row>
    <row r="40" spans="1:17" ht="17" thickTop="1" x14ac:dyDescent="0.2"/>
  </sheetData>
  <mergeCells count="18">
    <mergeCell ref="A3:A7"/>
    <mergeCell ref="B3:B7"/>
    <mergeCell ref="C3:C7"/>
    <mergeCell ref="A9:A14"/>
    <mergeCell ref="B9:B14"/>
    <mergeCell ref="C9:C14"/>
    <mergeCell ref="A16:A20"/>
    <mergeCell ref="B16:B20"/>
    <mergeCell ref="C16:C20"/>
    <mergeCell ref="A22:A26"/>
    <mergeCell ref="B22:B26"/>
    <mergeCell ref="C22:C26"/>
    <mergeCell ref="A28:A32"/>
    <mergeCell ref="B28:B32"/>
    <mergeCell ref="C28:C32"/>
    <mergeCell ref="A34:A38"/>
    <mergeCell ref="B34:B38"/>
    <mergeCell ref="C34:C38"/>
  </mergeCells>
  <dataValidations count="3">
    <dataValidation type="list" allowBlank="1" showInputMessage="1" showErrorMessage="1" sqref="D3 D9 D16 D22 D28 D34 P2:P8" xr:uid="{98FBC8C1-6086-0B45-8A20-711648F98FCD}">
      <formula1>"Processes,People,Systems,External Events,"</formula1>
    </dataValidation>
    <dataValidation type="list" allowBlank="1" showInputMessage="1" showErrorMessage="1" sqref="I3 I9 I16 I22 I28 I34" xr:uid="{5DACE39E-395E-9B42-A99C-5A1C52D9E1BF}">
      <formula1>"Operational VAR,Expected Loss"</formula1>
    </dataValidation>
    <dataValidation type="list" allowBlank="1" showInputMessage="1" showErrorMessage="1" sqref="E3 E9 E16 E22 E28 E34" xr:uid="{D59CB5DC-0866-E040-B676-750E202BCDA7}">
      <formula1>"Daily,Weekly,Monthly,Quarterly,Annually"</formula1>
    </dataValidation>
  </dataValidation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F6C65-F40C-CC4F-BA02-103438FC8BA4}">
  <dimension ref="A2:Q45"/>
  <sheetViews>
    <sheetView workbookViewId="0">
      <selection activeCell="M24" sqref="M24"/>
    </sheetView>
  </sheetViews>
  <sheetFormatPr baseColWidth="10" defaultRowHeight="16" x14ac:dyDescent="0.2"/>
  <cols>
    <col min="1" max="1" width="32.6640625" customWidth="1"/>
    <col min="4" max="4" width="16.83203125" customWidth="1"/>
    <col min="5" max="5" width="13.1640625" customWidth="1"/>
    <col min="6" max="6" width="11.83203125" customWidth="1"/>
    <col min="7" max="7" width="16.83203125" customWidth="1"/>
    <col min="8" max="8" width="17" customWidth="1"/>
    <col min="9" max="9" width="14.1640625" customWidth="1"/>
    <col min="13" max="13" width="40.6640625" customWidth="1"/>
    <col min="14" max="14" width="20.1640625" customWidth="1"/>
    <col min="15" max="15" width="15.33203125" customWidth="1"/>
    <col min="16" max="16" width="13.33203125" customWidth="1"/>
    <col min="17" max="17" width="11" customWidth="1"/>
  </cols>
  <sheetData>
    <row r="2" spans="1:17" ht="19" x14ac:dyDescent="0.25">
      <c r="A2" s="4" t="s">
        <v>13</v>
      </c>
      <c r="B2" s="4" t="s">
        <v>41</v>
      </c>
      <c r="C2" s="4" t="s">
        <v>42</v>
      </c>
      <c r="D2" s="4" t="s">
        <v>14</v>
      </c>
      <c r="E2" s="4" t="s">
        <v>3</v>
      </c>
      <c r="F2" s="4" t="s">
        <v>49</v>
      </c>
      <c r="G2" s="4" t="s">
        <v>18</v>
      </c>
      <c r="H2" s="5" t="s">
        <v>5</v>
      </c>
      <c r="I2" s="5" t="s">
        <v>6</v>
      </c>
      <c r="J2" s="5" t="s">
        <v>1</v>
      </c>
      <c r="K2" s="5" t="s">
        <v>7</v>
      </c>
      <c r="L2" s="5" t="s">
        <v>8</v>
      </c>
      <c r="M2" s="5" t="s">
        <v>25</v>
      </c>
      <c r="N2" s="5" t="s">
        <v>9</v>
      </c>
      <c r="O2" s="5" t="s">
        <v>12</v>
      </c>
      <c r="P2" s="4" t="s">
        <v>41</v>
      </c>
      <c r="Q2" s="4" t="s">
        <v>42</v>
      </c>
    </row>
    <row r="3" spans="1:17" x14ac:dyDescent="0.2">
      <c r="A3" s="6" t="str">
        <f>Main!D6</f>
        <v>Negative returns on the share price</v>
      </c>
      <c r="B3" s="6" t="str">
        <f>Main!E6</f>
        <v>Very High</v>
      </c>
      <c r="C3" s="6" t="str">
        <f>Main!F6</f>
        <v>Catastrophic</v>
      </c>
      <c r="D3" s="6" t="str">
        <f>Main!G6</f>
        <v>Key risk</v>
      </c>
      <c r="E3" s="6" t="str">
        <f>Main!H6</f>
        <v>Strategic Risk</v>
      </c>
      <c r="F3" s="6" t="str">
        <f>Main!I6</f>
        <v>Time Series</v>
      </c>
      <c r="G3" s="6" t="str">
        <f>Main!J6</f>
        <v>Effective hedging</v>
      </c>
      <c r="H3" s="6" t="str">
        <f>Main!K6</f>
        <v>Preventive</v>
      </c>
      <c r="I3" s="6">
        <f>Main!L6</f>
        <v>0</v>
      </c>
      <c r="J3" s="6" t="str">
        <f>Main!M6</f>
        <v>Daily</v>
      </c>
      <c r="K3" s="6" t="str">
        <f>Main!N6</f>
        <v>Committe or Board decision</v>
      </c>
      <c r="L3" s="6"/>
      <c r="M3" s="6"/>
      <c r="N3" s="6">
        <f>Main!Q6</f>
        <v>0</v>
      </c>
      <c r="O3" s="6">
        <f>Main!R6</f>
        <v>0</v>
      </c>
      <c r="P3" s="6" t="str">
        <f>Main!S6</f>
        <v>Medium</v>
      </c>
      <c r="Q3" s="6" t="str">
        <f>Main!T6</f>
        <v>Moderate</v>
      </c>
    </row>
    <row r="4" spans="1:17" x14ac:dyDescent="0.2">
      <c r="B4" t="s">
        <v>68</v>
      </c>
      <c r="I4" t="s">
        <v>64</v>
      </c>
    </row>
    <row r="16" spans="1:17" x14ac:dyDescent="0.2">
      <c r="N16" t="s">
        <v>19</v>
      </c>
    </row>
    <row r="17" spans="4:8" x14ac:dyDescent="0.2">
      <c r="D17" s="26" t="s">
        <v>96</v>
      </c>
      <c r="E17" s="26" t="s">
        <v>97</v>
      </c>
      <c r="F17" s="26" t="s">
        <v>98</v>
      </c>
      <c r="G17" s="26" t="s">
        <v>99</v>
      </c>
      <c r="H17" s="26" t="s">
        <v>100</v>
      </c>
    </row>
    <row r="18" spans="4:8" x14ac:dyDescent="0.2">
      <c r="D18" s="26" t="s">
        <v>95</v>
      </c>
    </row>
    <row r="19" spans="4:8" x14ac:dyDescent="0.2">
      <c r="D19" s="26" t="s">
        <v>101</v>
      </c>
      <c r="E19" s="26"/>
      <c r="F19" s="26"/>
      <c r="G19" s="26"/>
      <c r="H19" s="26"/>
    </row>
    <row r="20" spans="4:8" x14ac:dyDescent="0.2">
      <c r="D20" s="26" t="s">
        <v>102</v>
      </c>
      <c r="E20" s="26"/>
      <c r="F20" s="26"/>
      <c r="G20" s="26"/>
      <c r="H20" s="26"/>
    </row>
    <row r="21" spans="4:8" x14ac:dyDescent="0.2">
      <c r="D21" s="26" t="s">
        <v>110</v>
      </c>
      <c r="E21" s="26"/>
      <c r="F21" s="26"/>
      <c r="G21" s="26"/>
      <c r="H21" s="26"/>
    </row>
    <row r="22" spans="4:8" x14ac:dyDescent="0.2">
      <c r="D22" s="26" t="s">
        <v>111</v>
      </c>
      <c r="E22" s="26"/>
      <c r="F22" s="26"/>
      <c r="G22" s="26"/>
      <c r="H22" s="26"/>
    </row>
    <row r="25" spans="4:8" x14ac:dyDescent="0.2">
      <c r="D25" t="s">
        <v>103</v>
      </c>
    </row>
    <row r="31" spans="4:8" x14ac:dyDescent="0.2">
      <c r="D31" s="26" t="s">
        <v>96</v>
      </c>
      <c r="E31" s="26" t="s">
        <v>97</v>
      </c>
      <c r="F31" s="26" t="s">
        <v>98</v>
      </c>
      <c r="G31" s="26" t="s">
        <v>99</v>
      </c>
      <c r="H31" s="26" t="s">
        <v>100</v>
      </c>
    </row>
    <row r="32" spans="4:8" x14ac:dyDescent="0.2">
      <c r="D32" s="26" t="s">
        <v>105</v>
      </c>
      <c r="E32" s="26"/>
      <c r="F32" s="26"/>
      <c r="G32" s="26"/>
      <c r="H32" s="26"/>
    </row>
    <row r="33" spans="4:10" x14ac:dyDescent="0.2">
      <c r="D33" s="26" t="s">
        <v>106</v>
      </c>
      <c r="E33" s="26"/>
      <c r="F33" s="26"/>
      <c r="G33" s="26"/>
      <c r="H33" s="26"/>
    </row>
    <row r="34" spans="4:10" x14ac:dyDescent="0.2">
      <c r="D34" s="26" t="s">
        <v>104</v>
      </c>
      <c r="E34" s="26"/>
      <c r="F34" s="26"/>
      <c r="G34" s="26"/>
      <c r="H34" s="26"/>
    </row>
    <row r="42" spans="4:10" x14ac:dyDescent="0.2">
      <c r="D42" s="27" t="s">
        <v>107</v>
      </c>
      <c r="E42" s="1"/>
      <c r="F42" s="1"/>
      <c r="G42" s="1"/>
      <c r="H42" s="1"/>
    </row>
    <row r="43" spans="4:10" x14ac:dyDescent="0.2">
      <c r="D43" s="28" t="s">
        <v>108</v>
      </c>
      <c r="E43" s="28"/>
      <c r="F43" s="28"/>
      <c r="G43" s="28"/>
      <c r="H43" s="28"/>
      <c r="I43" s="28"/>
      <c r="J43" s="28"/>
    </row>
    <row r="44" spans="4:10" x14ac:dyDescent="0.2">
      <c r="D44" s="28" t="s">
        <v>109</v>
      </c>
      <c r="E44" s="28"/>
      <c r="F44" s="28"/>
      <c r="G44" s="28"/>
      <c r="H44" s="28"/>
      <c r="I44" s="28"/>
      <c r="J44" s="28"/>
    </row>
    <row r="45" spans="4:10" x14ac:dyDescent="0.2">
      <c r="D45" s="28" t="s">
        <v>118</v>
      </c>
      <c r="E45" s="28"/>
      <c r="F45" s="28"/>
      <c r="G45" s="28"/>
      <c r="H45" s="28"/>
      <c r="I45" s="28"/>
      <c r="J45" s="28"/>
    </row>
  </sheetData>
  <dataValidations count="1">
    <dataValidation type="list" allowBlank="1" showInputMessage="1" showErrorMessage="1" sqref="H2" xr:uid="{A0C24B24-E251-AF4B-B70E-578ADD7FF7AE}">
      <formula1>"Preventive,Detective"</formula1>
    </dataValidation>
  </dataValidations>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11</vt:i4>
      </vt:variant>
    </vt:vector>
  </HeadingPairs>
  <TitlesOfParts>
    <vt:vector size="15" baseType="lpstr">
      <vt:lpstr>Main</vt:lpstr>
      <vt:lpstr>HeatMap</vt:lpstr>
      <vt:lpstr>OperationalRisk Dashboard</vt:lpstr>
      <vt:lpstr>MarketRisk Dashboard</vt:lpstr>
      <vt:lpstr>Catastrophic</vt:lpstr>
      <vt:lpstr>High</vt:lpstr>
      <vt:lpstr>Impact</vt:lpstr>
      <vt:lpstr>Likelihood</vt:lpstr>
      <vt:lpstr>Low</vt:lpstr>
      <vt:lpstr>Medium</vt:lpstr>
      <vt:lpstr>Moderate</vt:lpstr>
      <vt:lpstr>Negligible</vt:lpstr>
      <vt:lpstr>Significant</vt:lpstr>
      <vt:lpstr>Very_High</vt:lpstr>
      <vt:lpstr>Very_Low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Malefane Molibeli</dc:creator>
  <cp:keywords/>
  <dc:description/>
  <cp:lastModifiedBy>Finance1, Quantitative</cp:lastModifiedBy>
  <dcterms:created xsi:type="dcterms:W3CDTF">2023-12-29T09:41:36Z</dcterms:created>
  <dcterms:modified xsi:type="dcterms:W3CDTF">2024-01-29T12:18:54Z</dcterms:modified>
  <cp:category/>
</cp:coreProperties>
</file>